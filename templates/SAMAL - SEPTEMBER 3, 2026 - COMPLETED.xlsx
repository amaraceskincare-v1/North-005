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rth-005 Files 2026\DAILY REPORT 2026\SEPTEMBER 2026\SEPTEMBER 3, 2026\"/>
    </mc:Choice>
  </mc:AlternateContent>
  <xr:revisionPtr revIDLastSave="0" documentId="13_ncr:1_{7FFD6D4E-A161-4FB7-ACFF-1523C02CF09A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Sheet1" sheetId="1" r:id="rId1"/>
    <sheet name="NELSON AREA" sheetId="2" r:id="rId2"/>
    <sheet name="CHARLIE AREA" sheetId="3" r:id="rId3"/>
    <sheet name="EOD - SEPTEMBER 3, 2026" sheetId="4" r:id="rId4"/>
    <sheet name="Low S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1" i="5" l="1"/>
  <c r="B41" i="5"/>
  <c r="C41" i="5" s="1"/>
  <c r="F34" i="1"/>
  <c r="E1" i="3"/>
  <c r="C1" i="5"/>
  <c r="A42" i="5"/>
  <c r="B42" i="5"/>
  <c r="C42" i="5" s="1"/>
  <c r="A43" i="5"/>
  <c r="B43" i="5"/>
  <c r="C43" i="5" s="1"/>
  <c r="A44" i="5"/>
  <c r="B44" i="5"/>
  <c r="C44" i="5" s="1"/>
  <c r="A45" i="5"/>
  <c r="B45" i="5"/>
  <c r="C45" i="5" s="1"/>
  <c r="A46" i="5"/>
  <c r="B46" i="5"/>
  <c r="C46" i="5" s="1"/>
  <c r="H123" i="4"/>
  <c r="G123" i="4"/>
  <c r="F123" i="4"/>
  <c r="E123" i="4"/>
  <c r="D123" i="4"/>
  <c r="B143" i="4"/>
  <c r="G22" i="3" s="1"/>
  <c r="J30" i="3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I30" i="3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H30" i="3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E21" i="3"/>
  <c r="C21" i="3"/>
  <c r="B21" i="3"/>
  <c r="F21" i="3" s="1"/>
  <c r="J21" i="3" s="1"/>
  <c r="E20" i="3"/>
  <c r="C20" i="3"/>
  <c r="B20" i="3"/>
  <c r="F20" i="3" s="1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F15" i="3" s="1"/>
  <c r="E14" i="3"/>
  <c r="C14" i="3"/>
  <c r="B14" i="3"/>
  <c r="F14" i="3" s="1"/>
  <c r="E13" i="3"/>
  <c r="C13" i="3"/>
  <c r="B13" i="3"/>
  <c r="F13" i="3" s="1"/>
  <c r="E12" i="3"/>
  <c r="C12" i="3"/>
  <c r="B12" i="3"/>
  <c r="F12" i="3" s="1"/>
  <c r="E11" i="3"/>
  <c r="E10" i="3"/>
  <c r="E9" i="3"/>
  <c r="E8" i="3"/>
  <c r="E7" i="3"/>
  <c r="E6" i="3"/>
  <c r="E5" i="3"/>
  <c r="E4" i="3"/>
  <c r="E3" i="3"/>
  <c r="J30" i="2"/>
  <c r="J31" i="2" s="1"/>
  <c r="I30" i="2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H30" i="2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" i="2"/>
  <c r="J50" i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I50" i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H50" i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G40" i="1"/>
  <c r="G21" i="3" s="1"/>
  <c r="F40" i="1"/>
  <c r="J40" i="1" s="1"/>
  <c r="G39" i="1"/>
  <c r="G20" i="3" s="1"/>
  <c r="F39" i="1"/>
  <c r="H39" i="1" s="1"/>
  <c r="G34" i="1"/>
  <c r="G15" i="3" s="1"/>
  <c r="G33" i="1"/>
  <c r="G14" i="3" s="1"/>
  <c r="F33" i="1"/>
  <c r="H33" i="1" s="1"/>
  <c r="G31" i="1"/>
  <c r="G13" i="3" s="1"/>
  <c r="F31" i="1"/>
  <c r="G30" i="1"/>
  <c r="G12" i="3" s="1"/>
  <c r="F30" i="1"/>
  <c r="C29" i="1"/>
  <c r="C11" i="3" s="1"/>
  <c r="B29" i="1"/>
  <c r="B11" i="3" s="1"/>
  <c r="F11" i="3" s="1"/>
  <c r="C28" i="1"/>
  <c r="C10" i="3" s="1"/>
  <c r="B28" i="1"/>
  <c r="G28" i="1" s="1"/>
  <c r="C27" i="1"/>
  <c r="C9" i="3" s="1"/>
  <c r="B27" i="1"/>
  <c r="B9" i="3" s="1"/>
  <c r="F9" i="3" s="1"/>
  <c r="C26" i="1"/>
  <c r="C8" i="3" s="1"/>
  <c r="B26" i="1"/>
  <c r="B8" i="3" s="1"/>
  <c r="F8" i="3" s="1"/>
  <c r="C25" i="1"/>
  <c r="C7" i="3" s="1"/>
  <c r="B25" i="1"/>
  <c r="C24" i="1"/>
  <c r="C6" i="3" s="1"/>
  <c r="B24" i="1"/>
  <c r="B6" i="3" s="1"/>
  <c r="F6" i="3" s="1"/>
  <c r="J6" i="3" s="1"/>
  <c r="C23" i="1"/>
  <c r="C5" i="3" s="1"/>
  <c r="B23" i="1"/>
  <c r="C22" i="1"/>
  <c r="C20" i="2" s="1"/>
  <c r="B22" i="1"/>
  <c r="B20" i="2" s="1"/>
  <c r="C21" i="1"/>
  <c r="C19" i="2" s="1"/>
  <c r="B21" i="1"/>
  <c r="G21" i="1" s="1"/>
  <c r="G19" i="2" s="1"/>
  <c r="C20" i="1"/>
  <c r="C18" i="2" s="1"/>
  <c r="B20" i="1"/>
  <c r="C19" i="1"/>
  <c r="C17" i="2" s="1"/>
  <c r="B19" i="1"/>
  <c r="B17" i="2" s="1"/>
  <c r="C18" i="1"/>
  <c r="C16" i="2" s="1"/>
  <c r="B18" i="1"/>
  <c r="B16" i="2" s="1"/>
  <c r="C17" i="1"/>
  <c r="C15" i="2" s="1"/>
  <c r="B17" i="1"/>
  <c r="B15" i="2" s="1"/>
  <c r="C16" i="1"/>
  <c r="C4" i="3" s="1"/>
  <c r="B16" i="1"/>
  <c r="G16" i="1" s="1"/>
  <c r="G4" i="3" s="1"/>
  <c r="C15" i="1"/>
  <c r="C13" i="2" s="1"/>
  <c r="B15" i="1"/>
  <c r="C14" i="1"/>
  <c r="C12" i="2" s="1"/>
  <c r="B14" i="1"/>
  <c r="C13" i="1"/>
  <c r="C14" i="2" s="1"/>
  <c r="B13" i="1"/>
  <c r="B14" i="2" s="1"/>
  <c r="C12" i="1"/>
  <c r="C11" i="2" s="1"/>
  <c r="B12" i="1"/>
  <c r="B11" i="2" s="1"/>
  <c r="C11" i="1"/>
  <c r="C10" i="2" s="1"/>
  <c r="B11" i="1"/>
  <c r="B10" i="2" s="1"/>
  <c r="C10" i="1"/>
  <c r="C9" i="2" s="1"/>
  <c r="B10" i="1"/>
  <c r="B9" i="2" s="1"/>
  <c r="C9" i="1"/>
  <c r="C8" i="2" s="1"/>
  <c r="B9" i="1"/>
  <c r="B8" i="2" s="1"/>
  <c r="C8" i="1"/>
  <c r="C6" i="2" s="1"/>
  <c r="B8" i="1"/>
  <c r="B6" i="2" s="1"/>
  <c r="C7" i="1"/>
  <c r="C7" i="2" s="1"/>
  <c r="B7" i="1"/>
  <c r="F7" i="1" s="1"/>
  <c r="C6" i="1"/>
  <c r="C3" i="3" s="1"/>
  <c r="B6" i="1"/>
  <c r="G6" i="1" s="1"/>
  <c r="G3" i="3" s="1"/>
  <c r="C5" i="1"/>
  <c r="C5" i="2" s="1"/>
  <c r="B5" i="1"/>
  <c r="C4" i="1"/>
  <c r="C4" i="2" s="1"/>
  <c r="B4" i="1"/>
  <c r="B4" i="2" s="1"/>
  <c r="C3" i="1"/>
  <c r="C3" i="2" s="1"/>
  <c r="B3" i="1"/>
  <c r="B3" i="2" s="1"/>
  <c r="F38" i="1" l="1"/>
  <c r="F42" i="1"/>
  <c r="H42" i="1" s="1"/>
  <c r="F16" i="3"/>
  <c r="J16" i="3" s="1"/>
  <c r="G38" i="1"/>
  <c r="G19" i="3" s="1"/>
  <c r="F19" i="3"/>
  <c r="G23" i="1"/>
  <c r="G5" i="3" s="1"/>
  <c r="F35" i="1"/>
  <c r="J35" i="1" s="1"/>
  <c r="F22" i="3"/>
  <c r="H22" i="3" s="1"/>
  <c r="G35" i="1"/>
  <c r="G16" i="3" s="1"/>
  <c r="F32" i="1"/>
  <c r="F21" i="2" s="1"/>
  <c r="J21" i="2" s="1"/>
  <c r="F36" i="1"/>
  <c r="H36" i="1" s="1"/>
  <c r="G32" i="1"/>
  <c r="G36" i="1"/>
  <c r="G17" i="3" s="1"/>
  <c r="G42" i="1"/>
  <c r="F37" i="1"/>
  <c r="J37" i="1" s="1"/>
  <c r="F41" i="1"/>
  <c r="F22" i="2" s="1"/>
  <c r="H22" i="2" s="1"/>
  <c r="F18" i="3"/>
  <c r="J18" i="3" s="1"/>
  <c r="F17" i="3"/>
  <c r="J17" i="3" s="1"/>
  <c r="G37" i="1"/>
  <c r="G18" i="3" s="1"/>
  <c r="G41" i="1"/>
  <c r="G22" i="2" s="1"/>
  <c r="J12" i="3"/>
  <c r="F26" i="1"/>
  <c r="H26" i="1" s="1"/>
  <c r="G26" i="1"/>
  <c r="G8" i="3" s="1"/>
  <c r="F12" i="1"/>
  <c r="J12" i="1" s="1"/>
  <c r="G12" i="1"/>
  <c r="G11" i="2" s="1"/>
  <c r="F3" i="1"/>
  <c r="F4" i="1"/>
  <c r="F4" i="2" s="1"/>
  <c r="H4" i="2" s="1"/>
  <c r="G18" i="1"/>
  <c r="G16" i="2" s="1"/>
  <c r="G4" i="1"/>
  <c r="G4" i="2" s="1"/>
  <c r="F23" i="1"/>
  <c r="H23" i="1" s="1"/>
  <c r="G3" i="1"/>
  <c r="G3" i="2" s="1"/>
  <c r="B10" i="3"/>
  <c r="F10" i="3" s="1"/>
  <c r="J10" i="3" s="1"/>
  <c r="G10" i="3"/>
  <c r="F13" i="1"/>
  <c r="J13" i="1" s="1"/>
  <c r="F19" i="1"/>
  <c r="F29" i="1"/>
  <c r="F9" i="1"/>
  <c r="F8" i="2" s="1"/>
  <c r="G13" i="1"/>
  <c r="G14" i="2" s="1"/>
  <c r="G19" i="1"/>
  <c r="G29" i="1"/>
  <c r="G11" i="3" s="1"/>
  <c r="H40" i="1"/>
  <c r="G8" i="1"/>
  <c r="G6" i="2" s="1"/>
  <c r="G9" i="1"/>
  <c r="G8" i="2" s="1"/>
  <c r="B4" i="3"/>
  <c r="F4" i="3" s="1"/>
  <c r="J4" i="3" s="1"/>
  <c r="F10" i="1"/>
  <c r="F9" i="2" s="1"/>
  <c r="B5" i="3"/>
  <c r="F5" i="3" s="1"/>
  <c r="H5" i="3" s="1"/>
  <c r="G10" i="1"/>
  <c r="G9" i="2" s="1"/>
  <c r="F17" i="1"/>
  <c r="F15" i="2" s="1"/>
  <c r="F28" i="1"/>
  <c r="G11" i="1"/>
  <c r="G10" i="2" s="1"/>
  <c r="J32" i="2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15" i="3"/>
  <c r="H15" i="3"/>
  <c r="I15" i="3" s="1"/>
  <c r="J9" i="3"/>
  <c r="H9" i="3"/>
  <c r="F24" i="1"/>
  <c r="F27" i="1"/>
  <c r="B13" i="2"/>
  <c r="G15" i="1"/>
  <c r="G13" i="2" s="1"/>
  <c r="F15" i="1"/>
  <c r="G24" i="1"/>
  <c r="G6" i="3" s="1"/>
  <c r="G27" i="1"/>
  <c r="G9" i="3" s="1"/>
  <c r="J11" i="3"/>
  <c r="H11" i="3"/>
  <c r="H21" i="3"/>
  <c r="I21" i="3" s="1"/>
  <c r="J34" i="1"/>
  <c r="H34" i="1"/>
  <c r="I34" i="1" s="1"/>
  <c r="F6" i="1"/>
  <c r="H30" i="1"/>
  <c r="I30" i="1" s="1"/>
  <c r="J30" i="1"/>
  <c r="I39" i="1"/>
  <c r="J39" i="1"/>
  <c r="J33" i="1"/>
  <c r="I33" i="1"/>
  <c r="J14" i="3"/>
  <c r="H14" i="3"/>
  <c r="I14" i="3" s="1"/>
  <c r="J13" i="3"/>
  <c r="H13" i="3"/>
  <c r="I13" i="3" s="1"/>
  <c r="F21" i="1"/>
  <c r="B19" i="2"/>
  <c r="J8" i="3"/>
  <c r="H8" i="3"/>
  <c r="G7" i="1"/>
  <c r="G7" i="2" s="1"/>
  <c r="B7" i="2"/>
  <c r="F22" i="1"/>
  <c r="H31" i="1"/>
  <c r="I31" i="1" s="1"/>
  <c r="F7" i="2"/>
  <c r="H7" i="1"/>
  <c r="J31" i="1"/>
  <c r="J20" i="3"/>
  <c r="H12" i="3"/>
  <c r="I12" i="3" s="1"/>
  <c r="F16" i="1"/>
  <c r="G22" i="1"/>
  <c r="G20" i="2" s="1"/>
  <c r="J7" i="1"/>
  <c r="B3" i="3"/>
  <c r="F3" i="3" s="1"/>
  <c r="H6" i="3"/>
  <c r="H20" i="3"/>
  <c r="I20" i="3" s="1"/>
  <c r="G25" i="1"/>
  <c r="G7" i="3" s="1"/>
  <c r="F25" i="1"/>
  <c r="B18" i="2"/>
  <c r="G20" i="1"/>
  <c r="G18" i="2" s="1"/>
  <c r="F20" i="1"/>
  <c r="F5" i="1"/>
  <c r="B5" i="2"/>
  <c r="G5" i="1"/>
  <c r="G5" i="2" s="1"/>
  <c r="B12" i="2"/>
  <c r="G14" i="1"/>
  <c r="G12" i="2" s="1"/>
  <c r="F14" i="1"/>
  <c r="G17" i="1"/>
  <c r="F11" i="1"/>
  <c r="B7" i="3"/>
  <c r="F7" i="3" s="1"/>
  <c r="F8" i="1"/>
  <c r="F18" i="1"/>
  <c r="I40" i="1" l="1"/>
  <c r="H38" i="1"/>
  <c r="I38" i="1" s="1"/>
  <c r="H19" i="3"/>
  <c r="I19" i="3" s="1"/>
  <c r="I5" i="3"/>
  <c r="I42" i="1"/>
  <c r="H16" i="3"/>
  <c r="I16" i="3" s="1"/>
  <c r="J32" i="1"/>
  <c r="I36" i="1"/>
  <c r="H17" i="3"/>
  <c r="I17" i="3" s="1"/>
  <c r="H41" i="1"/>
  <c r="I41" i="1" s="1"/>
  <c r="J36" i="1"/>
  <c r="H32" i="1"/>
  <c r="I32" i="1" s="1"/>
  <c r="G21" i="2"/>
  <c r="H18" i="3"/>
  <c r="I18" i="3" s="1"/>
  <c r="H37" i="1"/>
  <c r="I37" i="1" s="1"/>
  <c r="H21" i="2"/>
  <c r="H35" i="1"/>
  <c r="I35" i="1" s="1"/>
  <c r="H13" i="1"/>
  <c r="I13" i="1" s="1"/>
  <c r="H17" i="1"/>
  <c r="I17" i="1" s="1"/>
  <c r="J26" i="1"/>
  <c r="J8" i="2"/>
  <c r="F3" i="2"/>
  <c r="H3" i="2" s="1"/>
  <c r="I3" i="2" s="1"/>
  <c r="F43" i="1"/>
  <c r="D145" i="4" s="1"/>
  <c r="J17" i="1"/>
  <c r="I26" i="1"/>
  <c r="H4" i="1"/>
  <c r="I4" i="1" s="1"/>
  <c r="J4" i="1"/>
  <c r="J4" i="2"/>
  <c r="I8" i="3"/>
  <c r="J23" i="1"/>
  <c r="I23" i="1"/>
  <c r="H9" i="1"/>
  <c r="I9" i="1" s="1"/>
  <c r="I6" i="3"/>
  <c r="F11" i="2"/>
  <c r="J11" i="2" s="1"/>
  <c r="H12" i="1"/>
  <c r="I12" i="1" s="1"/>
  <c r="I11" i="3"/>
  <c r="I4" i="2"/>
  <c r="F14" i="2"/>
  <c r="J14" i="2" s="1"/>
  <c r="J9" i="1"/>
  <c r="I7" i="1"/>
  <c r="G23" i="3"/>
  <c r="H3" i="1"/>
  <c r="I3" i="1" s="1"/>
  <c r="J3" i="1"/>
  <c r="H10" i="3"/>
  <c r="I10" i="3" s="1"/>
  <c r="J5" i="3"/>
  <c r="H8" i="2"/>
  <c r="I8" i="2" s="1"/>
  <c r="I9" i="3"/>
  <c r="J28" i="1"/>
  <c r="H28" i="1"/>
  <c r="I28" i="1" s="1"/>
  <c r="H4" i="3"/>
  <c r="I4" i="3" s="1"/>
  <c r="J29" i="1"/>
  <c r="H29" i="1"/>
  <c r="I29" i="1" s="1"/>
  <c r="F17" i="2"/>
  <c r="J19" i="1"/>
  <c r="H19" i="1"/>
  <c r="I19" i="1" s="1"/>
  <c r="G17" i="2"/>
  <c r="H10" i="1"/>
  <c r="I10" i="1" s="1"/>
  <c r="J10" i="1"/>
  <c r="H11" i="1"/>
  <c r="I11" i="1" s="1"/>
  <c r="F10" i="2"/>
  <c r="J11" i="1"/>
  <c r="J24" i="1"/>
  <c r="H24" i="1"/>
  <c r="I24" i="1" s="1"/>
  <c r="G15" i="2"/>
  <c r="F12" i="2"/>
  <c r="H14" i="1"/>
  <c r="I14" i="1" s="1"/>
  <c r="J14" i="1"/>
  <c r="J22" i="1"/>
  <c r="H22" i="1"/>
  <c r="I22" i="1" s="1"/>
  <c r="F20" i="2"/>
  <c r="J25" i="1"/>
  <c r="H25" i="1"/>
  <c r="I25" i="1" s="1"/>
  <c r="J7" i="3"/>
  <c r="H7" i="3"/>
  <c r="I7" i="3" s="1"/>
  <c r="J3" i="3"/>
  <c r="H3" i="3"/>
  <c r="I3" i="3" s="1"/>
  <c r="F23" i="3"/>
  <c r="J15" i="2"/>
  <c r="H15" i="2"/>
  <c r="J9" i="2"/>
  <c r="H9" i="2"/>
  <c r="I9" i="2" s="1"/>
  <c r="J18" i="1"/>
  <c r="F16" i="2"/>
  <c r="H18" i="1"/>
  <c r="I18" i="1" s="1"/>
  <c r="F5" i="2"/>
  <c r="J5" i="1"/>
  <c r="H5" i="1"/>
  <c r="F13" i="2"/>
  <c r="J15" i="1"/>
  <c r="H15" i="1"/>
  <c r="I15" i="1" s="1"/>
  <c r="H7" i="2"/>
  <c r="I7" i="2" s="1"/>
  <c r="J7" i="2"/>
  <c r="F19" i="2"/>
  <c r="H21" i="1"/>
  <c r="I21" i="1" s="1"/>
  <c r="J21" i="1"/>
  <c r="H8" i="1"/>
  <c r="I8" i="1" s="1"/>
  <c r="J8" i="1"/>
  <c r="F6" i="2"/>
  <c r="H16" i="1"/>
  <c r="I16" i="1" s="1"/>
  <c r="J16" i="1"/>
  <c r="F18" i="2"/>
  <c r="H20" i="1"/>
  <c r="I20" i="1" s="1"/>
  <c r="J20" i="1"/>
  <c r="G43" i="1"/>
  <c r="D146" i="4" s="1"/>
  <c r="J6" i="1"/>
  <c r="H6" i="1"/>
  <c r="I6" i="1" s="1"/>
  <c r="J27" i="1"/>
  <c r="H27" i="1"/>
  <c r="I27" i="1" s="1"/>
  <c r="I21" i="2" l="1"/>
  <c r="J3" i="2"/>
  <c r="H14" i="2"/>
  <c r="I14" i="2" s="1"/>
  <c r="H11" i="2"/>
  <c r="I11" i="2" s="1"/>
  <c r="I23" i="3"/>
  <c r="I15" i="2"/>
  <c r="H43" i="1"/>
  <c r="D147" i="4" s="1"/>
  <c r="H17" i="2"/>
  <c r="I17" i="2" s="1"/>
  <c r="J17" i="2"/>
  <c r="J43" i="1"/>
  <c r="D150" i="4" s="1"/>
  <c r="I5" i="1"/>
  <c r="I43" i="1" s="1"/>
  <c r="D148" i="4" s="1"/>
  <c r="G23" i="2"/>
  <c r="J5" i="2"/>
  <c r="H5" i="2"/>
  <c r="F23" i="2"/>
  <c r="H12" i="2"/>
  <c r="I12" i="2" s="1"/>
  <c r="J12" i="2"/>
  <c r="J18" i="2"/>
  <c r="H18" i="2"/>
  <c r="I18" i="2" s="1"/>
  <c r="H19" i="2"/>
  <c r="I19" i="2" s="1"/>
  <c r="J19" i="2"/>
  <c r="J10" i="2"/>
  <c r="H10" i="2"/>
  <c r="I10" i="2" s="1"/>
  <c r="H13" i="2"/>
  <c r="I13" i="2" s="1"/>
  <c r="J13" i="2"/>
  <c r="J20" i="2"/>
  <c r="H20" i="2"/>
  <c r="I20" i="2" s="1"/>
  <c r="H16" i="2"/>
  <c r="I16" i="2" s="1"/>
  <c r="J16" i="2"/>
  <c r="J6" i="2"/>
  <c r="H6" i="2"/>
  <c r="I6" i="2" s="1"/>
  <c r="H23" i="3"/>
  <c r="I24" i="3" s="1"/>
  <c r="J23" i="3"/>
  <c r="I44" i="1" l="1"/>
  <c r="I45" i="1" s="1"/>
  <c r="D149" i="4" s="1"/>
  <c r="I25" i="3"/>
  <c r="H23" i="2"/>
  <c r="I24" i="2" s="1"/>
  <c r="I5" i="2"/>
  <c r="I23" i="2" s="1"/>
  <c r="J23" i="2"/>
  <c r="I25" i="2" l="1"/>
  <c r="B7" i="5" l="1" a="1"/>
  <c r="B7" i="5" s="1"/>
  <c r="C7" i="5" s="1"/>
  <c r="B33" i="5" a="1"/>
  <c r="B33" i="5" s="1"/>
  <c r="C33" i="5" s="1"/>
  <c r="A23" i="5" a="1"/>
  <c r="A23" i="5" s="1"/>
  <c r="A38" i="5" a="1"/>
  <c r="A38" i="5" s="1"/>
  <c r="A7" i="5" a="1"/>
  <c r="A7" i="5" s="1"/>
  <c r="B8" i="5" a="1"/>
  <c r="B8" i="5" s="1"/>
  <c r="C8" i="5" s="1"/>
  <c r="A27" i="5" a="1"/>
  <c r="A27" i="5" s="1"/>
  <c r="B32" i="5" a="1"/>
  <c r="B32" i="5" s="1"/>
  <c r="C32" i="5" s="1"/>
  <c r="B17" i="5" a="1"/>
  <c r="B17" i="5" s="1"/>
  <c r="C17" i="5" s="1"/>
  <c r="A26" i="5" a="1"/>
  <c r="A26" i="5" s="1"/>
  <c r="B31" i="5" a="1"/>
  <c r="B31" i="5" s="1"/>
  <c r="C31" i="5" s="1"/>
  <c r="A6" i="5" a="1"/>
  <c r="A6" i="5" s="1"/>
  <c r="A16" i="5" a="1"/>
  <c r="A16" i="5" s="1"/>
  <c r="A11" i="5" a="1"/>
  <c r="A11" i="5" s="1"/>
  <c r="B16" i="5" a="1"/>
  <c r="B16" i="5" s="1"/>
  <c r="C16" i="5" s="1"/>
  <c r="A25" i="5" a="1"/>
  <c r="A25" i="5" s="1"/>
  <c r="A17" i="5" a="1"/>
  <c r="A17" i="5" s="1"/>
  <c r="B12" i="5" a="1"/>
  <c r="B12" i="5" s="1"/>
  <c r="C12" i="5" s="1"/>
  <c r="A8" i="5" a="1"/>
  <c r="A8" i="5" s="1"/>
  <c r="B36" i="5" a="1"/>
  <c r="B36" i="5" s="1"/>
  <c r="C36" i="5" s="1"/>
  <c r="A10" i="5" a="1"/>
  <c r="A10" i="5" s="1"/>
  <c r="B15" i="5" a="1"/>
  <c r="B15" i="5" s="1"/>
  <c r="C15" i="5" s="1"/>
  <c r="B5" i="5" a="1"/>
  <c r="B5" i="5" s="1"/>
  <c r="C5" i="5" s="1"/>
  <c r="A14" i="5" a="1"/>
  <c r="A14" i="5" s="1"/>
  <c r="A30" i="5" a="1"/>
  <c r="A30" i="5" s="1"/>
  <c r="B35" i="5" a="1"/>
  <c r="B35" i="5" s="1"/>
  <c r="C35" i="5" s="1"/>
  <c r="B34" i="5" a="1"/>
  <c r="B34" i="5" s="1"/>
  <c r="C34" i="5" s="1"/>
  <c r="B6" i="5" a="1"/>
  <c r="B6" i="5" s="1"/>
  <c r="C6" i="5" s="1"/>
  <c r="B20" i="5" a="1"/>
  <c r="B20" i="5" s="1"/>
  <c r="C20" i="5" s="1"/>
  <c r="A29" i="5" a="1"/>
  <c r="A29" i="5" s="1"/>
  <c r="A28" i="5" a="1"/>
  <c r="A28" i="5" s="1"/>
  <c r="A15" i="5" a="1"/>
  <c r="A15" i="5" s="1"/>
  <c r="B28" i="5" a="1"/>
  <c r="B28" i="5" s="1"/>
  <c r="C28" i="5" s="1"/>
  <c r="B48" i="5"/>
  <c r="B39" i="5" a="1"/>
  <c r="B39" i="5" s="1"/>
  <c r="C39" i="5" s="1"/>
  <c r="B19" i="5" a="1"/>
  <c r="B19" i="5" s="1"/>
  <c r="C19" i="5" s="1"/>
  <c r="B18" i="5" a="1"/>
  <c r="B18" i="5" s="1"/>
  <c r="C18" i="5" s="1"/>
  <c r="A9" i="5" a="1"/>
  <c r="A9" i="5" s="1"/>
  <c r="B14" i="5" a="1"/>
  <c r="B14" i="5" s="1"/>
  <c r="C14" i="5" s="1"/>
  <c r="A37" i="5" a="1"/>
  <c r="A37" i="5" s="1"/>
  <c r="A33" i="5" a="1"/>
  <c r="A33" i="5" s="1"/>
  <c r="A13" i="5" a="1"/>
  <c r="A13" i="5" s="1"/>
  <c r="A12" i="5" a="1"/>
  <c r="A12" i="5" s="1"/>
  <c r="A22" i="5" a="1"/>
  <c r="A22" i="5" s="1"/>
  <c r="B27" i="5" a="1"/>
  <c r="B27" i="5" s="1"/>
  <c r="C27" i="5" s="1"/>
  <c r="B23" i="5" a="1"/>
  <c r="B23" i="5" s="1"/>
  <c r="C23" i="5" s="1"/>
  <c r="B22" i="5" a="1"/>
  <c r="B22" i="5" s="1"/>
  <c r="C22" i="5" s="1"/>
  <c r="B37" i="5" a="1"/>
  <c r="B37" i="5" s="1"/>
  <c r="C37" i="5" s="1"/>
  <c r="A24" i="5" a="1"/>
  <c r="A24" i="5" s="1"/>
  <c r="A21" i="5" a="1"/>
  <c r="A21" i="5" s="1"/>
  <c r="A36" i="5" a="1"/>
  <c r="A36" i="5" s="1"/>
  <c r="B38" i="5" a="1"/>
  <c r="B38" i="5" s="1"/>
  <c r="C38" i="5" s="1"/>
  <c r="A31" i="5" a="1"/>
  <c r="A31" i="5" s="1"/>
  <c r="B11" i="5" a="1"/>
  <c r="B11" i="5" s="1"/>
  <c r="C11" i="5" s="1"/>
  <c r="B26" i="5" a="1"/>
  <c r="B26" i="5" s="1"/>
  <c r="C26" i="5" s="1"/>
  <c r="A32" i="5" a="1"/>
  <c r="A32" i="5" s="1"/>
  <c r="B21" i="5" a="1"/>
  <c r="B21" i="5" s="1"/>
  <c r="C21" i="5" s="1"/>
  <c r="B13" i="5" a="1"/>
  <c r="B13" i="5" s="1"/>
  <c r="C13" i="5" s="1"/>
  <c r="A5" i="5" a="1"/>
  <c r="A5" i="5" s="1"/>
  <c r="A20" i="5" a="1"/>
  <c r="A20" i="5" s="1"/>
  <c r="A35" i="5" a="1"/>
  <c r="A35" i="5" s="1"/>
  <c r="B40" i="5" a="1"/>
  <c r="B40" i="5" s="1"/>
  <c r="C40" i="5" s="1"/>
  <c r="B47" i="5"/>
  <c r="B10" i="5" a="1"/>
  <c r="B10" i="5" s="1"/>
  <c r="C10" i="5" s="1"/>
  <c r="B25" i="5" a="1"/>
  <c r="B25" i="5" s="1"/>
  <c r="C25" i="5" s="1"/>
  <c r="A34" i="5" a="1"/>
  <c r="A34" i="5" s="1"/>
  <c r="B9" i="5" a="1"/>
  <c r="B9" i="5" s="1"/>
  <c r="C9" i="5" s="1"/>
  <c r="A40" i="5" a="1"/>
  <c r="A40" i="5" s="1"/>
  <c r="A39" i="5" a="1"/>
  <c r="A39" i="5" s="1"/>
  <c r="A19" i="5" a="1"/>
  <c r="A19" i="5" s="1"/>
  <c r="B24" i="5" a="1"/>
  <c r="B24" i="5" s="1"/>
  <c r="C24" i="5" s="1"/>
  <c r="A18" i="5" a="1"/>
  <c r="A18" i="5" s="1"/>
  <c r="B30" i="5" a="1"/>
  <c r="B30" i="5" s="1"/>
  <c r="C30" i="5" s="1"/>
  <c r="B29" i="5" a="1"/>
  <c r="B29" i="5" s="1"/>
  <c r="C29" i="5" s="1"/>
</calcChain>
</file>

<file path=xl/sharedStrings.xml><?xml version="1.0" encoding="utf-8"?>
<sst xmlns="http://schemas.openxmlformats.org/spreadsheetml/2006/main" count="525" uniqueCount="235">
  <si>
    <t>DATE</t>
  </si>
  <si>
    <t>SAMAL</t>
  </si>
  <si>
    <t>NO.</t>
  </si>
  <si>
    <t>BOOTH CODE</t>
  </si>
  <si>
    <t>ADDRESS</t>
  </si>
  <si>
    <t>OUTLETS</t>
  </si>
  <si>
    <t>TELLER</t>
  </si>
  <si>
    <t>TOTAL BETS</t>
  </si>
  <si>
    <t>PAY OUT</t>
  </si>
  <si>
    <t>COMMISSION</t>
  </si>
  <si>
    <t>PALAWAN</t>
  </si>
  <si>
    <t>SALARY</t>
  </si>
  <si>
    <t>DDN 1281-P1 TORIL,BABAK DISTRICT,SAMAL</t>
  </si>
  <si>
    <t>GINAROSE CAGAS</t>
  </si>
  <si>
    <t>DDN 1284-ZONE,7,VILLARICA,BABAK</t>
  </si>
  <si>
    <t>ANGEL MAE ESTRADA</t>
  </si>
  <si>
    <t>DDN 1285-P4 BONGKALAS,COGON,SAMAL</t>
  </si>
  <si>
    <t>DDN 1286-PRK1B PENAPLATA DDN</t>
  </si>
  <si>
    <t>DDN 1288-PRK 1 BRGY LIBUAK,BABAK</t>
  </si>
  <si>
    <t>Rene Daguit</t>
  </si>
  <si>
    <t>DDN 1635-PRK 6 TUGUAK,COGON,BABAK</t>
  </si>
  <si>
    <t>DDN 1293-PRK 2 TAMBO,BABAK,SAMAL</t>
  </si>
  <si>
    <t>NIÑA ESCALANTE</t>
  </si>
  <si>
    <t>DDN 1294-CIDG,P-KAIMITO,MIRANDA,BABAK</t>
  </si>
  <si>
    <t>DDN 1295-P3 KAUSWAGAN,MIRANDA,BABAK</t>
  </si>
  <si>
    <t>GENNIEL MONTERDE</t>
  </si>
  <si>
    <t>DDN 1296-PHASE 3 BUCARAN,TORIL,BABAK</t>
  </si>
  <si>
    <t>DDN 1629-PRK 6 KINAWITNON,BABAK</t>
  </si>
  <si>
    <t>DDN 1299-TALIPAPA,MIRANDA BABAK</t>
  </si>
  <si>
    <t>DDN 1300-PRK 9 SAN ISIDRO</t>
  </si>
  <si>
    <t>DDN 1302-P2 LIMAO,PENAPLATA</t>
  </si>
  <si>
    <t>DDN 1303-MAMBAGO A1,PENAPLATA,IGACOS</t>
  </si>
  <si>
    <t>DDN 1305-MAMBAGO A2,PENAPLATA,IGACOS</t>
  </si>
  <si>
    <t>DDN 1306-PRK 1 STO.NINO,PENAPLATA</t>
  </si>
  <si>
    <t>JEMARIE LOPEZ ADENO</t>
  </si>
  <si>
    <t>DDN 1308-PRK 6 COGON,BABAK</t>
  </si>
  <si>
    <t>BELEN ALFONSO</t>
  </si>
  <si>
    <t>DDN 1588-PRK 2 STO.NINO,PENAPLATA</t>
  </si>
  <si>
    <t>DDN 1632-PUROK 1, TAGBAY SAMAL</t>
  </si>
  <si>
    <t>DDN 1634- TAGBITINAO, GUILON</t>
  </si>
  <si>
    <t>DDN 1679- P4 CAWAG, IGACOS</t>
  </si>
  <si>
    <t>DDN 1714-PUROK 1, CAWAG</t>
  </si>
  <si>
    <t>DDN 1737 - PUROK 3B PARAISO CAWAG</t>
  </si>
  <si>
    <t>Loraine Junatas</t>
  </si>
  <si>
    <t>DDN-1757</t>
  </si>
  <si>
    <t>Purok 6, Aumbay, Samal City</t>
  </si>
  <si>
    <t>DDN-1758</t>
  </si>
  <si>
    <t xml:space="preserve">Purok 5A Tagbay, Samal </t>
  </si>
  <si>
    <t>DDN-1755</t>
  </si>
  <si>
    <t>PRK 3 COGON</t>
  </si>
  <si>
    <t>DDN-1756</t>
  </si>
  <si>
    <t>DDN-1759</t>
  </si>
  <si>
    <t>PRK KALACHOCHI, TAGBAOBO</t>
  </si>
  <si>
    <t>DDN-1760</t>
  </si>
  <si>
    <t>PRK ROSAL LIBOT, TAGBAOBO</t>
  </si>
  <si>
    <t>DDN-1761</t>
  </si>
  <si>
    <t>PRK 7, AZUCENA, TAGBAOBO</t>
  </si>
  <si>
    <t>DDN-1762</t>
  </si>
  <si>
    <t>PRK CACAO, KAPUTIAN</t>
  </si>
  <si>
    <t>DDN-1763</t>
  </si>
  <si>
    <t>DDN-1764</t>
  </si>
  <si>
    <t>PRK 16, KAPUTIAN</t>
  </si>
  <si>
    <t>Ikn Dzaia L. Peroso</t>
  </si>
  <si>
    <t>DDN-1765</t>
  </si>
  <si>
    <t>PRk 7, TADTAD, BADERA</t>
  </si>
  <si>
    <t xml:space="preserve"> </t>
  </si>
  <si>
    <t>COLLECTOR</t>
  </si>
  <si>
    <t>NELSON</t>
  </si>
  <si>
    <t>CALOY</t>
  </si>
  <si>
    <t>TOTAL</t>
  </si>
  <si>
    <t>TOTAL GROSS</t>
  </si>
  <si>
    <t>Outlet Name</t>
  </si>
  <si>
    <t>Teller</t>
  </si>
  <si>
    <t>Gross</t>
  </si>
  <si>
    <t>Net</t>
  </si>
  <si>
    <t>Less Commission</t>
  </si>
  <si>
    <t>Less Payments</t>
  </si>
  <si>
    <t>Coll/Tapada</t>
  </si>
  <si>
    <t>DDN-762</t>
  </si>
  <si>
    <t>DDN-761</t>
  </si>
  <si>
    <t>DDN-1740</t>
  </si>
  <si>
    <t>DDN-1716</t>
  </si>
  <si>
    <t>DDN-1303</t>
  </si>
  <si>
    <t>DDN-1299</t>
  </si>
  <si>
    <t>DDN-1717</t>
  </si>
  <si>
    <t>DDN-1715</t>
  </si>
  <si>
    <t>DDN-1305</t>
  </si>
  <si>
    <t>DDN-1294</t>
  </si>
  <si>
    <t>DDN-1737</t>
  </si>
  <si>
    <t>DDN-1296</t>
  </si>
  <si>
    <t>DDN-428</t>
  </si>
  <si>
    <t>DDN-1680</t>
  </si>
  <si>
    <t>DDN-1286</t>
  </si>
  <si>
    <t>DDN-1293</t>
  </si>
  <si>
    <t>DDN-776</t>
  </si>
  <si>
    <t>DDN-770</t>
  </si>
  <si>
    <t>DDN-1742</t>
  </si>
  <si>
    <t>DDN-422</t>
  </si>
  <si>
    <t>DDN-1590</t>
  </si>
  <si>
    <t>DDN-1281</t>
  </si>
  <si>
    <t>DDN-774</t>
  </si>
  <si>
    <t>DDN-1679</t>
  </si>
  <si>
    <t>DDN-350</t>
  </si>
  <si>
    <t>DDN-1295</t>
  </si>
  <si>
    <t>DDN-1284</t>
  </si>
  <si>
    <t>DDN-1723</t>
  </si>
  <si>
    <t>DDN-397</t>
  </si>
  <si>
    <t>DDN-1474</t>
  </si>
  <si>
    <t>DDN-1300</t>
  </si>
  <si>
    <t>DDN-777</t>
  </si>
  <si>
    <t>DDN-427</t>
  </si>
  <si>
    <t>DDN-764</t>
  </si>
  <si>
    <t>DDN-763</t>
  </si>
  <si>
    <t>DDN-429</t>
  </si>
  <si>
    <t>DDN-1308</t>
  </si>
  <si>
    <t>DDN-1422</t>
  </si>
  <si>
    <t>DDN-771</t>
  </si>
  <si>
    <t>DDN-773</t>
  </si>
  <si>
    <t>DDN-754</t>
  </si>
  <si>
    <t>DDN-1306</t>
  </si>
  <si>
    <t>DDN-780</t>
  </si>
  <si>
    <t>DDN-1752</t>
  </si>
  <si>
    <t>DDN-1751</t>
  </si>
  <si>
    <t>DDN-756</t>
  </si>
  <si>
    <t>DDN-767</t>
  </si>
  <si>
    <t>DDN-908</t>
  </si>
  <si>
    <t>DDN-351</t>
  </si>
  <si>
    <t>DDN-398</t>
  </si>
  <si>
    <t>DDN-1591</t>
  </si>
  <si>
    <t>DDN-1302</t>
  </si>
  <si>
    <t>DDN-1588</t>
  </si>
  <si>
    <t>DDN-352</t>
  </si>
  <si>
    <t>DDN-769</t>
  </si>
  <si>
    <t>DDN-910</t>
  </si>
  <si>
    <t>DDN-1424</t>
  </si>
  <si>
    <t>DDN-1524</t>
  </si>
  <si>
    <t>DDN-1738</t>
  </si>
  <si>
    <t>DDN-1586</t>
  </si>
  <si>
    <t>DDN-775</t>
  </si>
  <si>
    <t>DDN-426</t>
  </si>
  <si>
    <t>DDN-1632</t>
  </si>
  <si>
    <t>DDN-424</t>
  </si>
  <si>
    <t>DDN-1476</t>
  </si>
  <si>
    <t>DDN-909</t>
  </si>
  <si>
    <t>DDN-1285</t>
  </si>
  <si>
    <t>DDN-1634</t>
  </si>
  <si>
    <t>DDN-425</t>
  </si>
  <si>
    <t>← Edit B2 to change threshold</t>
  </si>
  <si>
    <t>Auto-detects outlets below threshold. Add rows to the EOD sheet and this list updates automatically.</t>
  </si>
  <si>
    <t>Status</t>
  </si>
  <si>
    <t>Total Low Sales Outlets:</t>
  </si>
  <si>
    <t>Total Gross (Low Sales):</t>
  </si>
  <si>
    <t>DDN-1779</t>
  </si>
  <si>
    <t>DDN-772</t>
  </si>
  <si>
    <t>Aiza Jane Batucan</t>
  </si>
  <si>
    <t>DDN-1739</t>
  </si>
  <si>
    <t xml:space="preserve">PREPARED BY: </t>
  </si>
  <si>
    <t>SV: PETER JOHN CARRILLO</t>
  </si>
  <si>
    <t>Draw Date</t>
  </si>
  <si>
    <t>DDN 1589-KINAWITNON,BABAK DISTRICT (TEMPORARY DEACTIVATED)</t>
  </si>
  <si>
    <t>DDN 1630-Prk 7, ANUNANG, KAPUTIAN, IGACOS (TEMPORARY DEACTIVATED)</t>
  </si>
  <si>
    <t>DDN-1631</t>
  </si>
  <si>
    <t>DDN 1631-PORUK 3, AUMBAY, SAMAL</t>
  </si>
  <si>
    <t>AMABELLE GIAN</t>
  </si>
  <si>
    <t>DDN-1629</t>
  </si>
  <si>
    <t>DDN-1714</t>
  </si>
  <si>
    <t>DDN-778</t>
  </si>
  <si>
    <t>PRK 3A PEÑAPLATA, SAMAL</t>
  </si>
  <si>
    <t>ANNALYN CUENCO</t>
  </si>
  <si>
    <t>Anne Via Feje</t>
  </si>
  <si>
    <t>REJEAN PREGLO</t>
  </si>
  <si>
    <t>DIANA B. CANILLO SARAGENA</t>
  </si>
  <si>
    <t>MANILYN P. VILLASIN</t>
  </si>
  <si>
    <t>JOVILYN B. OCOM</t>
  </si>
  <si>
    <t>JELOU SALVADOR</t>
  </si>
  <si>
    <t>AIZA CRODUA SAN JUAN</t>
  </si>
  <si>
    <t>Normenin K. Hussain</t>
  </si>
  <si>
    <t>Caren Espinosa</t>
  </si>
  <si>
    <t>Salvacion E Gofredo</t>
  </si>
  <si>
    <t>Janine Alcober Dinampo</t>
  </si>
  <si>
    <t>MARYJEAN BOGHANOY</t>
  </si>
  <si>
    <t>ILLAINE YBAÑEZ</t>
  </si>
  <si>
    <t xml:space="preserve">Jasmine Nicole J. Gila </t>
  </si>
  <si>
    <t>Reisthlle Ann D. Dapiton</t>
  </si>
  <si>
    <t>Janilyn Buragay Callano</t>
  </si>
  <si>
    <t>Good day po</t>
  </si>
  <si>
    <t>For your review</t>
  </si>
  <si>
    <t>Total Bets:</t>
  </si>
  <si>
    <t>Payouts:</t>
  </si>
  <si>
    <t>Commission:</t>
  </si>
  <si>
    <t>Palawan:</t>
  </si>
  <si>
    <t>Gross:</t>
  </si>
  <si>
    <t>Salary:</t>
  </si>
  <si>
    <t>DDN-1784</t>
  </si>
  <si>
    <t>DDN-1783</t>
  </si>
  <si>
    <t>DDN-1743</t>
  </si>
  <si>
    <t>DDN-1780</t>
  </si>
  <si>
    <t>Low Sales Threshold (₱):</t>
  </si>
  <si>
    <t>DDN-765</t>
  </si>
  <si>
    <t>DDN-1703</t>
  </si>
  <si>
    <t>DDN-1741</t>
  </si>
  <si>
    <t>DDN-1781</t>
  </si>
  <si>
    <t>DDN-1721</t>
  </si>
  <si>
    <t>DDN-1288</t>
  </si>
  <si>
    <t>DDN-423</t>
  </si>
  <si>
    <t>DDN-1477</t>
  </si>
  <si>
    <t>DDN-1806</t>
  </si>
  <si>
    <t>DDN-353</t>
  </si>
  <si>
    <t>PRK 3B, ANUNANG</t>
  </si>
  <si>
    <t>Chen A. Canillo</t>
  </si>
  <si>
    <t>Divine Lazo</t>
  </si>
  <si>
    <t>LEZEL IBANEZ</t>
  </si>
  <si>
    <t>Diomelyn Pansit Abad</t>
  </si>
  <si>
    <t>LOW SALES REPORT — EOD</t>
  </si>
  <si>
    <t>Jeralyne Marcellones</t>
  </si>
  <si>
    <t>DDN-1778</t>
  </si>
  <si>
    <t>DDN-1802</t>
  </si>
  <si>
    <t>DDN-758</t>
  </si>
  <si>
    <t>DDN-1799</t>
  </si>
  <si>
    <t>DDN-1722</t>
  </si>
  <si>
    <t>DDN-1797</t>
  </si>
  <si>
    <t>DDN-1475</t>
  </si>
  <si>
    <t>DDN-1794</t>
  </si>
  <si>
    <t>DDN-430</t>
  </si>
  <si>
    <t>DDN-755</t>
  </si>
  <si>
    <t>DDN-1824</t>
  </si>
  <si>
    <t>DDN-768</t>
  </si>
  <si>
    <t>DDN-1823</t>
  </si>
  <si>
    <t>DDN-402</t>
  </si>
  <si>
    <t>DDN-1782</t>
  </si>
  <si>
    <t>DDN-1801</t>
  </si>
  <si>
    <t>DDN-1523</t>
  </si>
  <si>
    <t>DDN-400</t>
  </si>
  <si>
    <t>DDN-779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</si>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</sst>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d\-mmm\-yy"/>
    <numFmt numFmtId="165" formatCode="_-\₱* #,##0.00_-;&quot;-₱&quot;* #,##0.00_-;_-\₱* \-??_-;_-@_-"/>
    <numFmt numFmtId="166" formatCode="_-* #,##0.00_-;\-* #,##0.00_-;_-* \-??_-;_-@_-"/>
    <numFmt numFmtId="167" formatCode="[$-3409]mmmm\ dd\,\ yyyy;@"/>
  </numFmts>
  <fonts count="40">
    <font>
      <sz val="11"/>
      <name val="Aptos Narrow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4"/>
      <name val="Arial"/>
      <family val="2"/>
      <charset val="1"/>
    </font>
    <font>
      <b/>
      <sz val="12"/>
      <color rgb="FF080809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4"/>
      <color rgb="FFFF000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rgb="FF000000"/>
      <name val="Arial"/>
      <family val="2"/>
      <charset val="1"/>
    </font>
    <font>
      <sz val="16"/>
      <color rgb="FF000000"/>
      <name val="Aptos SemiBold"/>
      <family val="2"/>
    </font>
    <font>
      <sz val="16"/>
      <color rgb="FF000000"/>
      <name val="Aptos Narrow"/>
      <family val="2"/>
    </font>
    <font>
      <b/>
      <sz val="22"/>
      <color rgb="FF000000"/>
      <name val="Aptos Slab Black"/>
      <family val="2"/>
    </font>
    <font>
      <b/>
      <sz val="20"/>
      <color rgb="FF000000"/>
      <name val="Arial"/>
      <family val="2"/>
      <charset val="1"/>
    </font>
    <font>
      <b/>
      <sz val="16"/>
      <name val="Arial"/>
      <family val="2"/>
      <charset val="1"/>
    </font>
    <font>
      <sz val="11"/>
      <color rgb="FF000000"/>
      <name val="Aptos Narrow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i/>
      <sz val="9"/>
      <color rgb="FF666666"/>
      <name val="Arial"/>
      <family val="2"/>
    </font>
    <font>
      <i/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sz val="11"/>
      <name val="Aptos Narrow"/>
      <family val="2"/>
    </font>
    <font>
      <sz val="11"/>
      <color rgb="FF02A5E3"/>
      <name val="Cutive Mono"/>
    </font>
    <font>
      <b/>
      <i/>
      <sz val="18"/>
      <color rgb="FF02A5E3"/>
      <name val="Cutive Mono"/>
    </font>
    <font>
      <b/>
      <sz val="16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4E5A2"/>
        <bgColor rgb="FFC0C0C0"/>
      </patternFill>
    </fill>
    <fill>
      <patternFill patternType="solid">
        <fgColor rgb="FFA5C9EC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AA0000"/>
      </patternFill>
    </fill>
    <fill>
      <patternFill patternType="solid">
        <fgColor rgb="FFFF6600"/>
        <bgColor rgb="FFFF9900"/>
      </patternFill>
    </fill>
    <fill>
      <patternFill patternType="solid">
        <fgColor rgb="FFFFF2CC"/>
        <bgColor rgb="FFFFE0E0"/>
      </patternFill>
    </fill>
    <fill>
      <patternFill patternType="solid">
        <fgColor rgb="FFAA0000"/>
        <bgColor rgb="FFC00000"/>
      </patternFill>
    </fill>
    <fill>
      <patternFill patternType="solid">
        <fgColor rgb="FF8B0000"/>
        <bgColor rgb="FFAA0000"/>
      </patternFill>
    </fill>
    <fill>
      <patternFill patternType="solid">
        <fgColor rgb="FFFFE0E0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3">
    <xf numFmtId="0" fontId="0" fillId="0" borderId="0">
      <alignment vertical="center"/>
    </xf>
    <xf numFmtId="0" fontId="1" fillId="0" borderId="0">
      <protection locked="0"/>
    </xf>
    <xf numFmtId="43" fontId="36" fillId="0" borderId="0" applyFont="0" applyFill="0" applyBorder="0" applyAlignment="0" applyProtection="0"/>
  </cellStyleXfs>
  <cellXfs count="100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8" fillId="0" borderId="2" xfId="0" applyFont="1" applyBorder="1" applyAlignment="1"/>
    <xf numFmtId="4" fontId="6" fillId="0" borderId="2" xfId="0" applyNumberFormat="1" applyFont="1" applyBorder="1">
      <alignment vertical="center"/>
    </xf>
    <xf numFmtId="165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/>
    <xf numFmtId="166" fontId="2" fillId="0" borderId="0" xfId="0" applyNumberFormat="1" applyFont="1" applyAlignment="1"/>
    <xf numFmtId="0" fontId="2" fillId="0" borderId="2" xfId="0" applyFont="1" applyBorder="1" applyAlignment="1"/>
    <xf numFmtId="3" fontId="2" fillId="0" borderId="0" xfId="0" applyNumberFormat="1" applyFont="1" applyAlignment="1"/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/>
    <xf numFmtId="0" fontId="7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0" borderId="2" xfId="0" applyFont="1" applyBorder="1" applyAlignment="1"/>
    <xf numFmtId="0" fontId="14" fillId="0" borderId="2" xfId="0" applyFont="1" applyBorder="1" applyAlignment="1"/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>
      <alignment vertical="center"/>
    </xf>
    <xf numFmtId="0" fontId="15" fillId="0" borderId="2" xfId="0" applyFont="1" applyBorder="1" applyAlignment="1"/>
    <xf numFmtId="0" fontId="18" fillId="0" borderId="2" xfId="0" applyFont="1" applyBorder="1" applyAlignment="1"/>
    <xf numFmtId="4" fontId="16" fillId="0" borderId="2" xfId="0" applyNumberFormat="1" applyFont="1" applyBorder="1">
      <alignment vertical="center"/>
    </xf>
    <xf numFmtId="165" fontId="18" fillId="0" borderId="2" xfId="0" applyNumberFormat="1" applyFont="1" applyBorder="1" applyAlignment="1">
      <alignment horizontal="center"/>
    </xf>
    <xf numFmtId="165" fontId="18" fillId="0" borderId="2" xfId="0" applyNumberFormat="1" applyFont="1" applyBorder="1" applyAlignment="1"/>
    <xf numFmtId="0" fontId="15" fillId="0" borderId="0" xfId="0" applyFont="1" applyAlignment="1"/>
    <xf numFmtId="166" fontId="15" fillId="0" borderId="0" xfId="0" applyNumberFormat="1" applyFont="1" applyAlignment="1"/>
    <xf numFmtId="0" fontId="12" fillId="0" borderId="2" xfId="0" applyFont="1" applyBorder="1">
      <alignment vertical="center"/>
    </xf>
    <xf numFmtId="4" fontId="11" fillId="0" borderId="2" xfId="0" applyNumberFormat="1" applyFont="1" applyBorder="1">
      <alignment vertical="center"/>
    </xf>
    <xf numFmtId="165" fontId="14" fillId="0" borderId="2" xfId="0" applyNumberFormat="1" applyFont="1" applyBorder="1" applyAlignment="1">
      <alignment horizontal="center"/>
    </xf>
    <xf numFmtId="165" fontId="14" fillId="0" borderId="2" xfId="0" applyNumberFormat="1" applyFont="1" applyBorder="1" applyAlignment="1"/>
    <xf numFmtId="0" fontId="19" fillId="0" borderId="2" xfId="0" applyFont="1" applyBorder="1" applyAlignment="1">
      <alignment horizontal="left"/>
    </xf>
    <xf numFmtId="165" fontId="19" fillId="0" borderId="2" xfId="0" applyNumberFormat="1" applyFont="1" applyBorder="1" applyAlignment="1"/>
    <xf numFmtId="0" fontId="20" fillId="0" borderId="3" xfId="0" applyFont="1" applyBorder="1" applyAlignment="1"/>
    <xf numFmtId="165" fontId="19" fillId="0" borderId="3" xfId="0" applyNumberFormat="1" applyFont="1" applyBorder="1" applyAlignment="1"/>
    <xf numFmtId="0" fontId="21" fillId="0" borderId="2" xfId="0" applyFont="1" applyBorder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165" fontId="5" fillId="0" borderId="0" xfId="0" applyNumberFormat="1" applyFont="1" applyAlignment="1"/>
    <xf numFmtId="0" fontId="24" fillId="0" borderId="0" xfId="0" applyFont="1" applyAlignment="1"/>
    <xf numFmtId="164" fontId="0" fillId="0" borderId="0" xfId="0" applyNumberFormat="1">
      <alignment vertical="center"/>
    </xf>
    <xf numFmtId="4" fontId="13" fillId="0" borderId="0" xfId="0" applyNumberFormat="1" applyFont="1" applyAlignment="1"/>
    <xf numFmtId="4" fontId="2" fillId="0" borderId="0" xfId="0" applyNumberFormat="1" applyFont="1" applyAlignment="1"/>
    <xf numFmtId="3" fontId="13" fillId="0" borderId="0" xfId="0" applyNumberFormat="1" applyFont="1" applyAlignment="1"/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0" fontId="1" fillId="0" borderId="0" xfId="0" applyFont="1" applyAlignment="1"/>
    <xf numFmtId="166" fontId="25" fillId="0" borderId="0" xfId="0" applyNumberFormat="1" applyFont="1" applyAlignment="1" applyProtection="1"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7" fillId="6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27" fillId="9" borderId="4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3" fontId="31" fillId="10" borderId="4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3" fontId="32" fillId="12" borderId="4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left" vertical="center"/>
    </xf>
    <xf numFmtId="0" fontId="35" fillId="0" borderId="2" xfId="0" applyFont="1" applyBorder="1" applyAlignment="1"/>
    <xf numFmtId="4" fontId="33" fillId="0" borderId="2" xfId="0" applyNumberFormat="1" applyFont="1" applyBorder="1">
      <alignment vertical="center"/>
    </xf>
    <xf numFmtId="165" fontId="9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/>
    <xf numFmtId="0" fontId="35" fillId="0" borderId="2" xfId="0" applyFont="1" applyBorder="1" applyAlignment="1">
      <alignment horizontal="center"/>
    </xf>
    <xf numFmtId="0" fontId="34" fillId="0" borderId="2" xfId="0" applyFont="1" applyBorder="1">
      <alignment vertical="center"/>
    </xf>
    <xf numFmtId="0" fontId="35" fillId="0" borderId="0" xfId="0" applyFont="1" applyAlignment="1"/>
    <xf numFmtId="166" fontId="35" fillId="0" borderId="0" xfId="0" applyNumberFormat="1" applyFont="1" applyAlignment="1"/>
    <xf numFmtId="3" fontId="0" fillId="0" borderId="0" xfId="0" applyNumberFormat="1" applyAlignment="1">
      <alignment horizontal="center"/>
    </xf>
    <xf numFmtId="43" fontId="32" fillId="12" borderId="4" xfId="2" applyFont="1" applyFill="1" applyBorder="1" applyAlignment="1">
      <alignment vertical="center" wrapText="1"/>
    </xf>
    <xf numFmtId="0" fontId="13" fillId="0" borderId="2" xfId="0" applyFont="1" applyBorder="1" applyAlignment="1">
      <alignment horizontal="center"/>
    </xf>
    <xf numFmtId="0" fontId="13" fillId="0" borderId="0" xfId="0" applyFont="1" applyAlignment="1"/>
    <xf numFmtId="166" fontId="13" fillId="0" borderId="0" xfId="0" applyNumberFormat="1" applyFont="1" applyAlignment="1"/>
    <xf numFmtId="0" fontId="37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4" fillId="0" borderId="2" xfId="0" applyFont="1" applyBorder="1" applyAlignment="1"/>
    <xf numFmtId="0" fontId="1" fillId="0" borderId="0" xfId="1" applyAlignment="1" applyProtection="1">
      <alignment horizontal="left"/>
    </xf>
    <xf numFmtId="0" fontId="1" fillId="0" borderId="0" xfId="1" applyAlignment="1" applyProtection="1">
      <alignment horizontal="center"/>
    </xf>
    <xf numFmtId="15" fontId="1" fillId="0" borderId="0" xfId="1" applyNumberFormat="1" applyAlignment="1" applyProtection="1">
      <alignment horizontal="left"/>
    </xf>
    <xf numFmtId="0" fontId="1" fillId="0" borderId="0" xfId="1" applyAlignment="1" applyProtection="1">
      <alignment horizontal="left" vertical="center"/>
    </xf>
    <xf numFmtId="0" fontId="1" fillId="0" borderId="0" xfId="1" applyProtection="1"/>
    <xf numFmtId="44" fontId="1" fillId="0" borderId="0" xfId="1" applyNumberFormat="1" applyAlignment="1" applyProtection="1">
      <alignment horizontal="right" vertical="center"/>
    </xf>
    <xf numFmtId="0" fontId="10" fillId="0" borderId="2" xfId="0" applyFont="1" applyBorder="1">
      <alignment vertical="center"/>
    </xf>
    <xf numFmtId="0" fontId="7" fillId="0" borderId="2" xfId="0" applyFont="1" applyBorder="1">
      <alignment vertical="center"/>
    </xf>
    <xf numFmtId="167" fontId="39" fillId="5" borderId="0" xfId="0" applyNumberFormat="1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30" fillId="8" borderId="0" xfId="0" applyFont="1" applyFill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CCFFFF"/>
      <rgbColor rgb="FFB4E5A2"/>
      <rgbColor rgb="FFFFFF99"/>
      <rgbColor rgb="FFA5C9EC"/>
      <rgbColor rgb="FFFF99CC"/>
      <rgbColor rgb="FFCC99FF"/>
      <rgbColor rgb="FFFFE0E0"/>
      <rgbColor rgb="FF3366FF"/>
      <rgbColor rgb="FF33CCCC"/>
      <rgbColor rgb="FF99CC00"/>
      <rgbColor rgb="FFFFC000"/>
      <rgbColor rgb="FFFF9900"/>
      <rgbColor rgb="FFFF6600"/>
      <rgbColor rgb="FF666666"/>
      <rgbColor rgb="FFAAAAAA"/>
      <rgbColor rgb="FF003366"/>
      <rgbColor rgb="FF339966"/>
      <rgbColor rgb="FF080809"/>
      <rgbColor rgb="FF333300"/>
      <rgbColor rgb="FFC00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"/>
  <sheetViews>
    <sheetView zoomScale="98" zoomScaleNormal="98" workbookViewId="0">
      <pane ySplit="1" topLeftCell="A31" activePane="bottomLeft" state="frozen"/>
      <selection pane="bottomLeft" activeCell="E2" sqref="E2"/>
    </sheetView>
  </sheetViews>
  <sheetFormatPr defaultColWidth="9.125" defaultRowHeight="14.25"/>
  <cols>
    <col min="1" max="1" width="5.625" style="1" customWidth="1"/>
    <col min="2" max="2" width="19.625" style="1" customWidth="1"/>
    <col min="3" max="3" width="74.875" style="1" bestFit="1" customWidth="1"/>
    <col min="4" max="4" width="24.125" style="2" hidden="1" customWidth="1"/>
    <col min="5" max="5" width="38.25" style="2" customWidth="1"/>
    <col min="6" max="10" width="19.75" style="2" customWidth="1"/>
    <col min="11" max="13" width="9.125" style="2"/>
    <col min="14" max="15" width="13.5" style="2" customWidth="1"/>
    <col min="16" max="16" width="12.5" style="2" customWidth="1"/>
    <col min="17" max="17" width="9.875" style="2" customWidth="1"/>
    <col min="18" max="18" width="10.125" style="2" customWidth="1"/>
    <col min="19" max="16384" width="9.125" style="2"/>
  </cols>
  <sheetData>
    <row r="1" spans="1:18" ht="30" customHeight="1">
      <c r="C1" s="3" t="s">
        <v>0</v>
      </c>
      <c r="D1" s="3" t="s">
        <v>0</v>
      </c>
      <c r="E1" s="4">
        <v>46268</v>
      </c>
      <c r="F1" s="95" t="s">
        <v>1</v>
      </c>
      <c r="G1" s="95"/>
      <c r="H1" s="95"/>
      <c r="I1" s="95"/>
      <c r="J1" s="95"/>
    </row>
    <row r="2" spans="1:18" ht="20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8" ht="18" customHeight="1">
      <c r="A3" s="6">
        <v>1</v>
      </c>
      <c r="B3" s="7" t="str">
        <f t="shared" ref="B3:B29" si="0">SUBSTITUTE(TRIM(LEFT(D3,FIND("-",D3&amp;"-")-1))," ","-")</f>
        <v>DDN-1281</v>
      </c>
      <c r="C3" s="8" t="str">
        <f t="shared" ref="C3:C29" si="1">TRIM(MID(D3,FIND("-",D3)+1,LEN(D3)))</f>
        <v>P1 TORIL,BABAK DISTRICT,SAMAL</v>
      </c>
      <c r="D3" s="9" t="s">
        <v>12</v>
      </c>
      <c r="E3" s="10" t="s">
        <v>13</v>
      </c>
      <c r="F3" s="11">
        <f>IFERROR(VLOOKUP($B3,'EOD - SEPTEMBER 3, 2026'!$B$2:$G$1004,3,FALSE()),0)</f>
        <v>8909</v>
      </c>
      <c r="G3" s="12">
        <f>IFERROR(VLOOKUP($B3,'EOD - SEPTEMBER 3, 2026'!$B:$G,6,FALSE()),0)</f>
        <v>7200</v>
      </c>
      <c r="H3" s="13">
        <f t="shared" ref="H3:H42" si="2">F3*0.125</f>
        <v>1113.625</v>
      </c>
      <c r="I3" s="13">
        <f t="shared" ref="I3:I42" si="3">F3-G3-H3</f>
        <v>595.375</v>
      </c>
      <c r="J3" s="13">
        <f t="shared" ref="J3:J40" si="4">IF((AND(F3&gt;=100,F3&lt;5000)),$J$48,IF((AND(F3&gt;=5000,F3&lt;6000)),$J$49,IF((AND(F3&gt;=6000,F3&lt;7000)),$J$50,IF((AND(F3&gt;=7000,F3&lt;8000)),$J$51,IF((AND(F3&gt;=8000,F3&lt;9000)),$J$52,IF((AND(F3&gt;=9000,F3&lt;10000)),$J$53,IF((AND(F3&gt;=10000,F3&lt;11000)),$J$54,IF((AND(F3&gt;=11000,F3&lt;12000)),$J$55,IF((AND(F3&gt;=12000,F3&lt;13000)),$J$56,IF((AND(F3&gt;=13000,F3&lt;14000)),$J$57,IF((AND(F3&gt;=14000,F3&lt;15000)),$J$58,IF((AND(F3&gt;=15000,F3&lt;16000)),$J$59,IF((AND(F3&gt;=16000,F3&lt;17000)),$J$60,IF((AND(F3&gt;=17000,F3&lt;18000)),$J$61,IF((AND(F3&gt;=18000,F3&lt;19000)),$J$62,IF((AND(F3&gt;=19000,F3&lt;20000)),$J$63,IF((AND(F3&gt;=20000,F3&lt;21000)),$J$64,IF((AND(F3&gt;=21000,F3&lt;22000)),$J$65,IF((AND(F3&gt;=22000,F3&lt;23000)),$J$66,IF((AND(F3&gt;=23000,F3&lt;24000)),$J$67,IF((AND(F3&gt;=24000,F3&lt;25000)),$J$68,IF((AND(F3&gt;=25000,F3&lt;26000)),$J$69,IF((AND(F3&gt;=26000,F3&lt;27000)),$J$70,IF((AND(F3&gt;=27000,F3&lt;28000)),$J$71,IF((AND(F3&gt;=28000,F3&lt;29000)),$J$72,IF((AND(F3&gt;=29000,F3&lt;30000)),$J$73,IF((AND(F3&gt;=30000,F3&lt;31000)),$J$74,IF((AND(F3&gt;=31000,F3&lt;32000)),$J$75,IF((AND(F3&gt;=32000,F3&lt;33000)),$J$76,IF((AND(F3&gt;=33000,F3&lt;34000)),$J$77,IF((AND(F3&gt;=34000,F3&lt;35000)),$J$78,IF((AND(F3&gt;=35000,F3&lt;36000)),$J$79,IF((AND(F3&gt;=36000,F3&lt;37000)),$J$80,IF((AND(F3&gt;=37000,F3&lt;38000)),$J$81,IF((AND(F3&gt;=38000,F3&lt;39000)),$J$82,IF((AND(F3&gt;=39000,F3&lt;40000)),$J$83,IF((AND(F3&gt;=40000,F3&lt;41000)),$J$84,IF((AND(F3&gt;=41000,F3&lt;42000)),$J$85,IF((AND(F3&gt;=42000,F3&lt;43000)),$J$86,IF((AND(F3&gt;=43000,F3&lt;44000)),$J$87,IF((AND(F3&gt;=44000,F3&lt;45000)),$J$88,IF((AND(F3&gt;=45000,F3&lt;46000)),$J$89,IF((AND(F3&gt;=46000,F3&lt;47000)),$J$90,IF((AND(F3&gt;=47000,F3&lt;48000)),$J$91,IF((AND(F3&gt;=48000,F3&lt;49000)),$J$92,IF((AND(F3&gt;=49000,F3&lt;50000)),$J$93,IF((AND(F3&gt;=50000,F3&lt;51000)),$J$94,IF((AND(F3&gt;=51000,F3&lt;52000)),$J$95,IF((AND(F3&gt;=52000,F3&lt;53000)),$J$96,IF((AND(F3&gt;=53000,F3&lt;54000)),$J$97,IF((AND(F3&gt;=54000,F3&lt;55000)),$J$98,IF((AND(F3&gt;=55000,F3&lt;56000)),$J$99,IF((AND(F3&gt;=56000,F3&lt;57000)),$J$100,IF((AND(F3&gt;=57000,F3&lt;58000)),$J$101,IF((AND(F3&gt;=58000,F3&lt;59000)),$J$102,IF((AND(F3&gt;=59000,F3&lt;60000)),$J$103,IF((AND(F3&gt;=60000,F3&lt;61000)),$J$104,"0")))))))))))))))))))))))))))))))))))))))))))))))))))))))))</f>
        <v>330</v>
      </c>
      <c r="N3" s="14"/>
      <c r="O3" s="14"/>
      <c r="P3" s="14"/>
      <c r="Q3" s="14"/>
    </row>
    <row r="4" spans="1:18" ht="18.75" customHeight="1">
      <c r="A4" s="6">
        <v>2</v>
      </c>
      <c r="B4" s="7" t="str">
        <f t="shared" si="0"/>
        <v>DDN-1284</v>
      </c>
      <c r="C4" s="8" t="str">
        <f t="shared" si="1"/>
        <v>ZONE,7,VILLARICA,BABAK</v>
      </c>
      <c r="D4" s="15" t="s">
        <v>14</v>
      </c>
      <c r="E4" s="10" t="s">
        <v>15</v>
      </c>
      <c r="F4" s="11">
        <f>IFERROR(VLOOKUP($B4,'EOD - SEPTEMBER 3, 2026'!$B$2:$G$1004,3,FALSE()),0)</f>
        <v>3600</v>
      </c>
      <c r="G4" s="12">
        <f>IFERROR(VLOOKUP($B4,'EOD - SEPTEMBER 3, 2026'!$B:$G,6,FALSE()),0)</f>
        <v>0</v>
      </c>
      <c r="H4" s="13">
        <f t="shared" si="2"/>
        <v>450</v>
      </c>
      <c r="I4" s="13">
        <f t="shared" si="3"/>
        <v>3150</v>
      </c>
      <c r="J4" s="13">
        <f t="shared" si="4"/>
        <v>250</v>
      </c>
      <c r="N4" s="14"/>
      <c r="O4" s="14"/>
      <c r="P4" s="14"/>
      <c r="R4" s="14"/>
    </row>
    <row r="5" spans="1:18" ht="18" customHeight="1">
      <c r="A5" s="6">
        <v>3</v>
      </c>
      <c r="B5" s="7" t="str">
        <f t="shared" si="0"/>
        <v>DDN-1285</v>
      </c>
      <c r="C5" s="8" t="str">
        <f t="shared" si="1"/>
        <v>P4 BONGKALAS,COGON,SAMAL</v>
      </c>
      <c r="D5" s="9" t="s">
        <v>16</v>
      </c>
      <c r="E5" s="10" t="s">
        <v>170</v>
      </c>
      <c r="F5" s="11">
        <f>IFERROR(VLOOKUP($B5,'EOD - SEPTEMBER 3, 2026'!$B$2:$G$1004,3,FALSE()),0)</f>
        <v>1675</v>
      </c>
      <c r="G5" s="12">
        <f>IFERROR(VLOOKUP($B5,'EOD - SEPTEMBER 3, 2026'!$B:$G,6,FALSE()),0)</f>
        <v>0</v>
      </c>
      <c r="H5" s="13">
        <f t="shared" si="2"/>
        <v>209.375</v>
      </c>
      <c r="I5" s="13">
        <f t="shared" si="3"/>
        <v>1465.625</v>
      </c>
      <c r="J5" s="13">
        <f t="shared" si="4"/>
        <v>250</v>
      </c>
      <c r="N5" s="14"/>
      <c r="O5" s="14"/>
      <c r="P5" s="14"/>
      <c r="R5" s="14"/>
    </row>
    <row r="6" spans="1:18" ht="18" customHeight="1">
      <c r="A6" s="6">
        <v>4</v>
      </c>
      <c r="B6" s="7" t="str">
        <f t="shared" si="0"/>
        <v>DDN-1286</v>
      </c>
      <c r="C6" s="8" t="str">
        <f t="shared" si="1"/>
        <v>PRK1B PENAPLATA DDN</v>
      </c>
      <c r="D6" s="15" t="s">
        <v>17</v>
      </c>
      <c r="E6" s="10" t="s">
        <v>171</v>
      </c>
      <c r="F6" s="11">
        <f>IFERROR(VLOOKUP($B6,'EOD - SEPTEMBER 3, 2026'!$B$2:$G$1004,3,FALSE()),0)</f>
        <v>10015</v>
      </c>
      <c r="G6" s="12">
        <f>IFERROR(VLOOKUP($B6,'EOD - SEPTEMBER 3, 2026'!$B:$G,6,FALSE()),0)</f>
        <v>1200</v>
      </c>
      <c r="H6" s="13">
        <f t="shared" si="2"/>
        <v>1251.875</v>
      </c>
      <c r="I6" s="13">
        <f t="shared" si="3"/>
        <v>7563.125</v>
      </c>
      <c r="J6" s="13">
        <f t="shared" si="4"/>
        <v>350</v>
      </c>
      <c r="N6" s="14"/>
      <c r="O6" s="14"/>
      <c r="P6" s="14"/>
      <c r="R6" s="14"/>
    </row>
    <row r="7" spans="1:18" ht="18" customHeight="1">
      <c r="A7" s="6">
        <v>5</v>
      </c>
      <c r="B7" s="7" t="str">
        <f t="shared" si="0"/>
        <v>DDN-1288</v>
      </c>
      <c r="C7" s="8" t="str">
        <f t="shared" si="1"/>
        <v>PRK 1 BRGY LIBUAK,BABAK</v>
      </c>
      <c r="D7" s="15" t="s">
        <v>18</v>
      </c>
      <c r="E7" s="10" t="s">
        <v>19</v>
      </c>
      <c r="F7" s="11">
        <f>IFERROR(VLOOKUP($B7,'EOD - SEPTEMBER 3, 2026'!$B$2:$G$1004,3,FALSE()),0)</f>
        <v>12007</v>
      </c>
      <c r="G7" s="12">
        <f>IFERROR(VLOOKUP($B7,'EOD - SEPTEMBER 3, 2026'!$B:$G,6,FALSE()),0)</f>
        <v>7200</v>
      </c>
      <c r="H7" s="13">
        <f t="shared" si="2"/>
        <v>1500.875</v>
      </c>
      <c r="I7" s="13">
        <f t="shared" si="3"/>
        <v>3306.125</v>
      </c>
      <c r="J7" s="13">
        <f t="shared" si="4"/>
        <v>370</v>
      </c>
      <c r="L7" s="16"/>
      <c r="N7" s="14"/>
      <c r="O7" s="14"/>
      <c r="P7" s="14"/>
      <c r="R7" s="14"/>
    </row>
    <row r="8" spans="1:18" s="81" customFormat="1" ht="18" customHeight="1">
      <c r="A8" s="80">
        <v>6</v>
      </c>
      <c r="B8" s="20" t="str">
        <f t="shared" si="0"/>
        <v>DDN-1635</v>
      </c>
      <c r="C8" s="50" t="str">
        <f t="shared" si="1"/>
        <v>PRK 6 TUGUAK,COGON,BABAK</v>
      </c>
      <c r="D8" s="51" t="s">
        <v>20</v>
      </c>
      <c r="E8" s="22" t="s">
        <v>172</v>
      </c>
      <c r="F8" s="34">
        <f>IFERROR(VLOOKUP($B8,'EOD - SEPTEMBER 3, 2026'!$B$2:$G$1004,3,FALSE()),0)</f>
        <v>0</v>
      </c>
      <c r="G8" s="35">
        <f>IFERROR(VLOOKUP($B8,'EOD - SEPTEMBER 3, 2026'!$B:$G,6,FALSE()),0)</f>
        <v>0</v>
      </c>
      <c r="H8" s="36">
        <f t="shared" si="2"/>
        <v>0</v>
      </c>
      <c r="I8" s="36">
        <f t="shared" si="3"/>
        <v>0</v>
      </c>
      <c r="J8" s="36" t="str">
        <f t="shared" si="4"/>
        <v>0</v>
      </c>
      <c r="N8" s="82"/>
      <c r="O8" s="82"/>
      <c r="P8" s="82"/>
      <c r="R8" s="82"/>
    </row>
    <row r="9" spans="1:18" ht="15.75" customHeight="1">
      <c r="A9" s="6">
        <v>7</v>
      </c>
      <c r="B9" s="7" t="str">
        <f t="shared" si="0"/>
        <v>DDN-1293</v>
      </c>
      <c r="C9" s="8" t="str">
        <f t="shared" si="1"/>
        <v>PRK 2 TAMBO,BABAK,SAMAL</v>
      </c>
      <c r="D9" s="15" t="s">
        <v>21</v>
      </c>
      <c r="E9" s="10" t="s">
        <v>22</v>
      </c>
      <c r="F9" s="11">
        <f>IFERROR(VLOOKUP($B9,'EOD - SEPTEMBER 3, 2026'!$B$2:$G$1004,3,FALSE()),0)</f>
        <v>4527</v>
      </c>
      <c r="G9" s="12">
        <f>IFERROR(VLOOKUP($B9,'EOD - SEPTEMBER 3, 2026'!$B:$G,6,FALSE()),0)</f>
        <v>2400</v>
      </c>
      <c r="H9" s="13">
        <f t="shared" si="2"/>
        <v>565.875</v>
      </c>
      <c r="I9" s="13">
        <f t="shared" si="3"/>
        <v>1561.125</v>
      </c>
      <c r="J9" s="13">
        <f t="shared" si="4"/>
        <v>250</v>
      </c>
      <c r="L9" s="16"/>
      <c r="N9" s="14"/>
      <c r="O9" s="14"/>
      <c r="P9" s="14"/>
      <c r="R9" s="14"/>
    </row>
    <row r="10" spans="1:18" ht="18" customHeight="1">
      <c r="A10" s="6">
        <v>8</v>
      </c>
      <c r="B10" s="7" t="str">
        <f t="shared" si="0"/>
        <v>DDN-1294</v>
      </c>
      <c r="C10" s="8" t="str">
        <f t="shared" si="1"/>
        <v>CIDG,P-KAIMITO,MIRANDA,BABAK</v>
      </c>
      <c r="D10" s="15" t="s">
        <v>23</v>
      </c>
      <c r="E10" s="10" t="s">
        <v>173</v>
      </c>
      <c r="F10" s="11">
        <f>IFERROR(VLOOKUP($B10,'EOD - SEPTEMBER 3, 2026'!$B$2:$G$1004,3,FALSE()),0)</f>
        <v>3687</v>
      </c>
      <c r="G10" s="12">
        <f>IFERROR(VLOOKUP($B10,'EOD - SEPTEMBER 3, 2026'!$B:$G,6,FALSE()),0)</f>
        <v>0</v>
      </c>
      <c r="H10" s="13">
        <f t="shared" si="2"/>
        <v>460.875</v>
      </c>
      <c r="I10" s="13">
        <f t="shared" si="3"/>
        <v>3226.125</v>
      </c>
      <c r="J10" s="13">
        <f t="shared" si="4"/>
        <v>250</v>
      </c>
      <c r="N10" s="14"/>
      <c r="O10" s="14"/>
      <c r="P10" s="14"/>
      <c r="R10" s="14"/>
    </row>
    <row r="11" spans="1:18" ht="18" customHeight="1">
      <c r="A11" s="6">
        <v>9</v>
      </c>
      <c r="B11" s="7" t="str">
        <f t="shared" si="0"/>
        <v>DDN-1295</v>
      </c>
      <c r="C11" s="8" t="str">
        <f t="shared" si="1"/>
        <v>P3 KAUSWAGAN,MIRANDA,BABAK</v>
      </c>
      <c r="D11" s="17" t="s">
        <v>24</v>
      </c>
      <c r="E11" s="10" t="s">
        <v>25</v>
      </c>
      <c r="F11" s="11">
        <f>IFERROR(VLOOKUP($B11,'EOD - SEPTEMBER 3, 2026'!$B$2:$G$1004,3,FALSE()),0)</f>
        <v>4775</v>
      </c>
      <c r="G11" s="12">
        <f>IFERROR(VLOOKUP($B11,'EOD - SEPTEMBER 3, 2026'!$B:$G,6,FALSE()),0)</f>
        <v>0</v>
      </c>
      <c r="H11" s="13">
        <f t="shared" si="2"/>
        <v>596.875</v>
      </c>
      <c r="I11" s="13">
        <f t="shared" si="3"/>
        <v>4178.125</v>
      </c>
      <c r="J11" s="13">
        <f t="shared" si="4"/>
        <v>250</v>
      </c>
      <c r="N11" s="14"/>
      <c r="O11" s="14"/>
      <c r="P11" s="14"/>
      <c r="R11" s="14"/>
    </row>
    <row r="12" spans="1:18" ht="18" customHeight="1">
      <c r="A12" s="6">
        <v>10</v>
      </c>
      <c r="B12" s="7" t="str">
        <f t="shared" si="0"/>
        <v>DDN-1296</v>
      </c>
      <c r="C12" s="8" t="str">
        <f t="shared" si="1"/>
        <v>PHASE 3 BUCARAN,TORIL,BABAK</v>
      </c>
      <c r="D12" s="9" t="s">
        <v>26</v>
      </c>
      <c r="E12" s="10" t="s">
        <v>174</v>
      </c>
      <c r="F12" s="11">
        <f>IFERROR(VLOOKUP($B12,'EOD - SEPTEMBER 3, 2026'!$B$2:$G$1004,3,FALSE()),0)</f>
        <v>2775</v>
      </c>
      <c r="G12" s="12">
        <f>IFERROR(VLOOKUP($B12,'EOD - SEPTEMBER 3, 2026'!$B:$G,6,FALSE()),0)</f>
        <v>0</v>
      </c>
      <c r="H12" s="13">
        <f t="shared" si="2"/>
        <v>346.875</v>
      </c>
      <c r="I12" s="13">
        <f t="shared" si="3"/>
        <v>2428.125</v>
      </c>
      <c r="J12" s="13">
        <f t="shared" si="4"/>
        <v>250</v>
      </c>
      <c r="N12" s="14"/>
      <c r="O12" s="14"/>
      <c r="P12" s="14"/>
      <c r="R12" s="14"/>
    </row>
    <row r="13" spans="1:18" ht="18" customHeight="1">
      <c r="A13" s="6">
        <v>11</v>
      </c>
      <c r="B13" s="7" t="str">
        <f t="shared" si="0"/>
        <v>DDN-1629</v>
      </c>
      <c r="C13" s="8" t="str">
        <f t="shared" si="1"/>
        <v>PRK 6 KINAWITNON,BABAK</v>
      </c>
      <c r="D13" s="15" t="s">
        <v>27</v>
      </c>
      <c r="E13" s="18" t="s">
        <v>212</v>
      </c>
      <c r="F13" s="11">
        <f>IFERROR(VLOOKUP($B13,'EOD - SEPTEMBER 3, 2026'!$B$2:$G$1004,3,FALSE()),0)</f>
        <v>2954</v>
      </c>
      <c r="G13" s="12">
        <f>IFERROR(VLOOKUP($B13,'EOD - SEPTEMBER 3, 2026'!$B:$G,6,FALSE()),0)</f>
        <v>400</v>
      </c>
      <c r="H13" s="13">
        <f t="shared" si="2"/>
        <v>369.25</v>
      </c>
      <c r="I13" s="13">
        <f t="shared" si="3"/>
        <v>2184.75</v>
      </c>
      <c r="J13" s="13">
        <f t="shared" si="4"/>
        <v>250</v>
      </c>
      <c r="N13" s="14"/>
      <c r="O13" s="14"/>
      <c r="P13" s="14"/>
      <c r="R13" s="14"/>
    </row>
    <row r="14" spans="1:18" ht="18" customHeight="1">
      <c r="A14" s="6">
        <v>12</v>
      </c>
      <c r="B14" s="7" t="str">
        <f t="shared" si="0"/>
        <v>DDN-1299</v>
      </c>
      <c r="C14" s="8" t="str">
        <f t="shared" si="1"/>
        <v>TALIPAPA,MIRANDA BABAK</v>
      </c>
      <c r="D14" s="9" t="s">
        <v>28</v>
      </c>
      <c r="E14" s="10" t="s">
        <v>175</v>
      </c>
      <c r="F14" s="11">
        <f>IFERROR(VLOOKUP($B14,'EOD - SEPTEMBER 3, 2026'!$B$2:$G$1004,3,FALSE()),0)</f>
        <v>6067</v>
      </c>
      <c r="G14" s="12">
        <f>IFERROR(VLOOKUP($B14,'EOD - SEPTEMBER 3, 2026'!$B:$G,6,FALSE()),0)</f>
        <v>1600</v>
      </c>
      <c r="H14" s="13">
        <f t="shared" si="2"/>
        <v>758.375</v>
      </c>
      <c r="I14" s="13">
        <f t="shared" si="3"/>
        <v>3708.625</v>
      </c>
      <c r="J14" s="13">
        <f t="shared" si="4"/>
        <v>310</v>
      </c>
      <c r="N14" s="14"/>
      <c r="O14" s="14"/>
      <c r="P14" s="14"/>
      <c r="R14" s="14"/>
    </row>
    <row r="15" spans="1:18" ht="18" customHeight="1">
      <c r="A15" s="6">
        <v>13</v>
      </c>
      <c r="B15" s="7" t="str">
        <f t="shared" si="0"/>
        <v>DDN-1300</v>
      </c>
      <c r="C15" s="8" t="str">
        <f t="shared" si="1"/>
        <v>PRK 9 SAN ISIDRO</v>
      </c>
      <c r="D15" s="15" t="s">
        <v>29</v>
      </c>
      <c r="E15" s="10" t="s">
        <v>176</v>
      </c>
      <c r="F15" s="11">
        <f>IFERROR(VLOOKUP($B15,'EOD - SEPTEMBER 3, 2026'!$B$2:$G$1004,3,FALSE()),0)</f>
        <v>2462</v>
      </c>
      <c r="G15" s="12">
        <f>IFERROR(VLOOKUP($B15,'EOD - SEPTEMBER 3, 2026'!$B:$G,6,FALSE()),0)</f>
        <v>800</v>
      </c>
      <c r="H15" s="13">
        <f t="shared" si="2"/>
        <v>307.75</v>
      </c>
      <c r="I15" s="13">
        <f t="shared" si="3"/>
        <v>1354.25</v>
      </c>
      <c r="J15" s="13">
        <f t="shared" si="4"/>
        <v>250</v>
      </c>
      <c r="N15" s="14"/>
      <c r="O15" s="14"/>
      <c r="P15" s="14"/>
      <c r="R15" s="14"/>
    </row>
    <row r="16" spans="1:18" ht="19.5" customHeight="1">
      <c r="A16" s="6">
        <v>14</v>
      </c>
      <c r="B16" s="7" t="str">
        <f t="shared" si="0"/>
        <v>DDN-1302</v>
      </c>
      <c r="C16" s="8" t="str">
        <f t="shared" si="1"/>
        <v>P2 LIMAO,PENAPLATA</v>
      </c>
      <c r="D16" s="9" t="s">
        <v>30</v>
      </c>
      <c r="E16" s="10" t="s">
        <v>177</v>
      </c>
      <c r="F16" s="11">
        <f>IFERROR(VLOOKUP($B16,'EOD - SEPTEMBER 3, 2026'!$B$2:$G$1004,3,FALSE()),0)</f>
        <v>8174</v>
      </c>
      <c r="G16" s="12">
        <f>IFERROR(VLOOKUP($B16,'EOD - SEPTEMBER 3, 2026'!$B:$G,6,FALSE()),0)</f>
        <v>6800</v>
      </c>
      <c r="H16" s="13">
        <f t="shared" si="2"/>
        <v>1021.75</v>
      </c>
      <c r="I16" s="13">
        <f t="shared" si="3"/>
        <v>352.25</v>
      </c>
      <c r="J16" s="13">
        <f t="shared" si="4"/>
        <v>330</v>
      </c>
      <c r="N16" s="14"/>
      <c r="O16" s="14"/>
      <c r="P16" s="14"/>
      <c r="R16" s="14"/>
    </row>
    <row r="17" spans="1:18" ht="18" customHeight="1">
      <c r="A17" s="6">
        <v>15</v>
      </c>
      <c r="B17" s="7" t="str">
        <f t="shared" si="0"/>
        <v>DDN-1303</v>
      </c>
      <c r="C17" s="8" t="str">
        <f t="shared" si="1"/>
        <v>MAMBAGO A1,PENAPLATA,IGACOS</v>
      </c>
      <c r="D17" s="17" t="s">
        <v>31</v>
      </c>
      <c r="E17" s="10" t="s">
        <v>178</v>
      </c>
      <c r="F17" s="11">
        <f>IFERROR(VLOOKUP($B17,'EOD - SEPTEMBER 3, 2026'!$B$2:$G$1004,3,FALSE()),0)</f>
        <v>3230</v>
      </c>
      <c r="G17" s="12">
        <f>IFERROR(VLOOKUP($B17,'EOD - SEPTEMBER 3, 2026'!$B:$G,6,FALSE()),0)</f>
        <v>0</v>
      </c>
      <c r="H17" s="13">
        <f t="shared" si="2"/>
        <v>403.75</v>
      </c>
      <c r="I17" s="13">
        <f t="shared" si="3"/>
        <v>2826.25</v>
      </c>
      <c r="J17" s="13">
        <f t="shared" si="4"/>
        <v>250</v>
      </c>
      <c r="N17" s="14"/>
      <c r="O17" s="14"/>
      <c r="P17" s="14"/>
      <c r="R17" s="14"/>
    </row>
    <row r="18" spans="1:18" ht="18" customHeight="1">
      <c r="A18" s="6">
        <v>16</v>
      </c>
      <c r="B18" s="7" t="str">
        <f t="shared" si="0"/>
        <v>DDN-1305</v>
      </c>
      <c r="C18" s="8" t="str">
        <f t="shared" si="1"/>
        <v>MAMBAGO A2,PENAPLATA,IGACOS</v>
      </c>
      <c r="D18" s="17" t="s">
        <v>32</v>
      </c>
      <c r="E18" s="10" t="s">
        <v>179</v>
      </c>
      <c r="F18" s="11">
        <f>IFERROR(VLOOKUP($B18,'EOD - SEPTEMBER 3, 2026'!$B$2:$G$1004,3,FALSE()),0)</f>
        <v>7317</v>
      </c>
      <c r="G18" s="12">
        <f>IFERROR(VLOOKUP($B18,'EOD - SEPTEMBER 3, 2026'!$B:$G,6,FALSE()),0)</f>
        <v>800</v>
      </c>
      <c r="H18" s="13">
        <f t="shared" si="2"/>
        <v>914.625</v>
      </c>
      <c r="I18" s="13">
        <f t="shared" si="3"/>
        <v>5602.375</v>
      </c>
      <c r="J18" s="13">
        <f t="shared" si="4"/>
        <v>320</v>
      </c>
      <c r="N18" s="14"/>
      <c r="O18" s="14"/>
      <c r="P18" s="14"/>
      <c r="R18" s="14"/>
    </row>
    <row r="19" spans="1:18" ht="18" customHeight="1">
      <c r="A19" s="6">
        <v>17</v>
      </c>
      <c r="B19" s="7" t="str">
        <f t="shared" si="0"/>
        <v>DDN-1306</v>
      </c>
      <c r="C19" s="8" t="str">
        <f t="shared" si="1"/>
        <v>PRK 1 STO.NINO,PENAPLATA</v>
      </c>
      <c r="D19" s="9" t="s">
        <v>33</v>
      </c>
      <c r="E19" s="10" t="s">
        <v>34</v>
      </c>
      <c r="F19" s="11">
        <f>IFERROR(VLOOKUP($B19,'EOD - SEPTEMBER 3, 2026'!$B$2:$G$1004,3,FALSE()),0)</f>
        <v>2795</v>
      </c>
      <c r="G19" s="12">
        <f>IFERROR(VLOOKUP($B19,'EOD - SEPTEMBER 3, 2026'!$B:$G,6,FALSE()),0)</f>
        <v>0</v>
      </c>
      <c r="H19" s="13">
        <f t="shared" si="2"/>
        <v>349.375</v>
      </c>
      <c r="I19" s="13">
        <f t="shared" si="3"/>
        <v>2445.625</v>
      </c>
      <c r="J19" s="13">
        <f t="shared" si="4"/>
        <v>250</v>
      </c>
      <c r="N19" s="14"/>
      <c r="O19" s="14"/>
      <c r="P19" s="14"/>
      <c r="R19" s="14"/>
    </row>
    <row r="20" spans="1:18" ht="18" customHeight="1">
      <c r="A20" s="6">
        <v>18</v>
      </c>
      <c r="B20" s="7" t="str">
        <f t="shared" si="0"/>
        <v>DDN-1308</v>
      </c>
      <c r="C20" s="8" t="str">
        <f t="shared" si="1"/>
        <v>PRK 6 COGON,BABAK</v>
      </c>
      <c r="D20" s="9" t="s">
        <v>35</v>
      </c>
      <c r="E20" s="10" t="s">
        <v>36</v>
      </c>
      <c r="F20" s="11">
        <f>IFERROR(VLOOKUP($B20,'EOD - SEPTEMBER 3, 2026'!$B$2:$G$1004,3,FALSE()),0)</f>
        <v>5355</v>
      </c>
      <c r="G20" s="12">
        <f>IFERROR(VLOOKUP($B20,'EOD - SEPTEMBER 3, 2026'!$B:$G,6,FALSE()),0)</f>
        <v>0</v>
      </c>
      <c r="H20" s="13">
        <f t="shared" si="2"/>
        <v>669.375</v>
      </c>
      <c r="I20" s="13">
        <f t="shared" si="3"/>
        <v>4685.625</v>
      </c>
      <c r="J20" s="13">
        <f t="shared" si="4"/>
        <v>300</v>
      </c>
      <c r="N20" s="14"/>
      <c r="O20" s="14"/>
      <c r="P20" s="14"/>
      <c r="R20" s="14"/>
    </row>
    <row r="21" spans="1:18" ht="18" customHeight="1">
      <c r="A21" s="6">
        <v>19</v>
      </c>
      <c r="B21" s="7" t="str">
        <f t="shared" si="0"/>
        <v>DDN-1588</v>
      </c>
      <c r="C21" s="8" t="str">
        <f t="shared" si="1"/>
        <v>PRK 2 STO.NINO,PENAPLATA</v>
      </c>
      <c r="D21" s="9" t="s">
        <v>37</v>
      </c>
      <c r="E21" s="10" t="s">
        <v>180</v>
      </c>
      <c r="F21" s="11">
        <f>IFERROR(VLOOKUP($B21,'EOD - SEPTEMBER 3, 2026'!$B$2:$G$1004,3,FALSE()),0)</f>
        <v>2560</v>
      </c>
      <c r="G21" s="12">
        <f>IFERROR(VLOOKUP($B21,'EOD - SEPTEMBER 3, 2026'!$B:$G,6,FALSE()),0)</f>
        <v>800</v>
      </c>
      <c r="H21" s="13">
        <f t="shared" si="2"/>
        <v>320</v>
      </c>
      <c r="I21" s="13">
        <f t="shared" si="3"/>
        <v>1440</v>
      </c>
      <c r="J21" s="13">
        <f t="shared" si="4"/>
        <v>250</v>
      </c>
      <c r="N21" s="14"/>
      <c r="O21" s="14"/>
      <c r="P21" s="14"/>
      <c r="R21" s="14"/>
    </row>
    <row r="22" spans="1:18" s="81" customFormat="1" ht="18" customHeight="1">
      <c r="A22" s="80">
        <v>20</v>
      </c>
      <c r="B22" s="20" t="str">
        <f t="shared" si="0"/>
        <v>DDN-1589</v>
      </c>
      <c r="C22" s="50" t="str">
        <f t="shared" si="1"/>
        <v>KINAWITNON,BABAK DISTRICT (TEMPORARY DEACTIVATED)</v>
      </c>
      <c r="D22" s="51" t="s">
        <v>159</v>
      </c>
      <c r="E22" s="22"/>
      <c r="F22" s="34">
        <f>IFERROR(VLOOKUP($B22,'EOD - SEPTEMBER 3, 2026'!$B$2:$G$1004,3,FALSE()),0)</f>
        <v>0</v>
      </c>
      <c r="G22" s="35">
        <f>IFERROR(VLOOKUP($B22,'EOD - SEPTEMBER 3, 2026'!$B:$G,6,FALSE()),0)</f>
        <v>0</v>
      </c>
      <c r="H22" s="36">
        <f t="shared" si="2"/>
        <v>0</v>
      </c>
      <c r="I22" s="36">
        <f t="shared" si="3"/>
        <v>0</v>
      </c>
      <c r="J22" s="36" t="str">
        <f t="shared" si="4"/>
        <v>0</v>
      </c>
      <c r="N22" s="82"/>
      <c r="O22" s="82"/>
      <c r="P22" s="82"/>
      <c r="R22" s="82"/>
    </row>
    <row r="23" spans="1:18" s="81" customFormat="1" ht="18" customHeight="1">
      <c r="A23" s="80">
        <v>21</v>
      </c>
      <c r="B23" s="20" t="str">
        <f t="shared" si="0"/>
        <v>DDN-1630</v>
      </c>
      <c r="C23" s="50" t="str">
        <f t="shared" si="1"/>
        <v>Prk 7, ANUNANG, KAPUTIAN, IGACOS (TEMPORARY DEACTIVATED)</v>
      </c>
      <c r="D23" s="21" t="s">
        <v>160</v>
      </c>
      <c r="E23" s="22"/>
      <c r="F23" s="34">
        <f>IFERROR(VLOOKUP($B23,'EOD - SEPTEMBER 3, 2026'!$B$2:$G$1004,3,FALSE()),0)</f>
        <v>0</v>
      </c>
      <c r="G23" s="35">
        <f>IFERROR(VLOOKUP($B23,'EOD - SEPTEMBER 3, 2026'!$B:$G,6,FALSE()),0)</f>
        <v>0</v>
      </c>
      <c r="H23" s="36">
        <f t="shared" si="2"/>
        <v>0</v>
      </c>
      <c r="I23" s="36">
        <f t="shared" si="3"/>
        <v>0</v>
      </c>
      <c r="J23" s="36" t="str">
        <f t="shared" si="4"/>
        <v>0</v>
      </c>
      <c r="N23" s="82"/>
      <c r="O23" s="82"/>
      <c r="P23" s="82"/>
      <c r="R23" s="82"/>
    </row>
    <row r="24" spans="1:18" s="76" customFormat="1" ht="18" customHeight="1">
      <c r="A24" s="74">
        <v>22</v>
      </c>
      <c r="B24" s="68" t="str">
        <f t="shared" si="0"/>
        <v>DDN-1631</v>
      </c>
      <c r="C24" s="69" t="str">
        <f t="shared" si="1"/>
        <v>PORUK 3, AUMBAY, SAMAL</v>
      </c>
      <c r="D24" s="85" t="s">
        <v>162</v>
      </c>
      <c r="E24" s="18" t="s">
        <v>163</v>
      </c>
      <c r="F24" s="71">
        <f>IFERROR(VLOOKUP($B24,'EOD - SEPTEMBER 3, 2026'!$B$2:$G$1004,3,FALSE()),0)</f>
        <v>2640</v>
      </c>
      <c r="G24" s="72">
        <f>IFERROR(VLOOKUP($B24,'EOD - SEPTEMBER 3, 2026'!$B:$G,6,FALSE()),0)</f>
        <v>0</v>
      </c>
      <c r="H24" s="73">
        <f t="shared" si="2"/>
        <v>330</v>
      </c>
      <c r="I24" s="73">
        <f t="shared" si="3"/>
        <v>2310</v>
      </c>
      <c r="J24" s="73">
        <f t="shared" si="4"/>
        <v>250</v>
      </c>
      <c r="N24" s="77"/>
      <c r="O24" s="77"/>
      <c r="P24" s="77"/>
      <c r="R24" s="77"/>
    </row>
    <row r="25" spans="1:18" ht="18" customHeight="1">
      <c r="A25" s="6">
        <v>23</v>
      </c>
      <c r="B25" s="7" t="str">
        <f t="shared" si="0"/>
        <v>DDN-1632</v>
      </c>
      <c r="C25" s="8" t="str">
        <f t="shared" si="1"/>
        <v>PUROK 1, TAGBAY SAMAL</v>
      </c>
      <c r="D25" s="9" t="s">
        <v>38</v>
      </c>
      <c r="E25" s="10" t="s">
        <v>214</v>
      </c>
      <c r="F25" s="11">
        <f>IFERROR(VLOOKUP($B25,'EOD - SEPTEMBER 3, 2026'!$B$2:$G$1004,3,FALSE()),0)</f>
        <v>3790</v>
      </c>
      <c r="G25" s="12">
        <f>IFERROR(VLOOKUP($B25,'EOD - SEPTEMBER 3, 2026'!$B:$G,6,FALSE()),0)</f>
        <v>2000</v>
      </c>
      <c r="H25" s="13">
        <f t="shared" si="2"/>
        <v>473.75</v>
      </c>
      <c r="I25" s="13">
        <f t="shared" si="3"/>
        <v>1316.25</v>
      </c>
      <c r="J25" s="13">
        <f t="shared" si="4"/>
        <v>250</v>
      </c>
      <c r="N25" s="14"/>
      <c r="O25" s="14"/>
      <c r="P25" s="14"/>
      <c r="R25" s="14"/>
    </row>
    <row r="26" spans="1:18" ht="18" customHeight="1">
      <c r="A26" s="6">
        <v>24</v>
      </c>
      <c r="B26" s="7" t="str">
        <f t="shared" si="0"/>
        <v>DDN-1634</v>
      </c>
      <c r="C26" s="8" t="str">
        <f t="shared" si="1"/>
        <v>TAGBITINAO, GUILON</v>
      </c>
      <c r="D26" s="19" t="s">
        <v>39</v>
      </c>
      <c r="E26" s="10" t="s">
        <v>181</v>
      </c>
      <c r="F26" s="11">
        <f>IFERROR(VLOOKUP($B26,'EOD - SEPTEMBER 3, 2026'!$B$2:$G$1004,3,FALSE()),0)</f>
        <v>5420</v>
      </c>
      <c r="G26" s="12">
        <f>IFERROR(VLOOKUP($B26,'EOD - SEPTEMBER 3, 2026'!$B:$G,6,FALSE()),0)</f>
        <v>0</v>
      </c>
      <c r="H26" s="13">
        <f t="shared" si="2"/>
        <v>677.5</v>
      </c>
      <c r="I26" s="13">
        <f t="shared" si="3"/>
        <v>4742.5</v>
      </c>
      <c r="J26" s="13">
        <f t="shared" si="4"/>
        <v>300</v>
      </c>
      <c r="N26" s="14"/>
      <c r="O26" s="14"/>
      <c r="P26" s="14"/>
      <c r="R26" s="14"/>
    </row>
    <row r="27" spans="1:18" ht="18" customHeight="1">
      <c r="A27" s="6">
        <v>25</v>
      </c>
      <c r="B27" s="7" t="str">
        <f t="shared" si="0"/>
        <v>DDN-1679</v>
      </c>
      <c r="C27" s="8" t="str">
        <f t="shared" si="1"/>
        <v>P4 CAWAG, IGACOS</v>
      </c>
      <c r="D27" s="15" t="s">
        <v>40</v>
      </c>
      <c r="E27" s="10" t="s">
        <v>182</v>
      </c>
      <c r="F27" s="11">
        <f>IFERROR(VLOOKUP($B27,'EOD - SEPTEMBER 3, 2026'!$B$2:$G$1004,3,FALSE()),0)</f>
        <v>5880</v>
      </c>
      <c r="G27" s="12">
        <f>IFERROR(VLOOKUP($B27,'EOD - SEPTEMBER 3, 2026'!$B:$G,6,FALSE()),0)</f>
        <v>0</v>
      </c>
      <c r="H27" s="13">
        <f t="shared" si="2"/>
        <v>735</v>
      </c>
      <c r="I27" s="13">
        <f t="shared" si="3"/>
        <v>5145</v>
      </c>
      <c r="J27" s="13">
        <f t="shared" si="4"/>
        <v>300</v>
      </c>
      <c r="N27" s="14"/>
      <c r="O27" s="14"/>
      <c r="P27" s="14"/>
      <c r="R27" s="14"/>
    </row>
    <row r="28" spans="1:18" ht="18" customHeight="1">
      <c r="A28" s="6">
        <v>26</v>
      </c>
      <c r="B28" s="7" t="str">
        <f t="shared" si="0"/>
        <v>DDN-1714</v>
      </c>
      <c r="C28" s="8" t="str">
        <f t="shared" si="1"/>
        <v>PUROK 1, CAWAG</v>
      </c>
      <c r="D28" s="15" t="s">
        <v>41</v>
      </c>
      <c r="E28" s="10" t="s">
        <v>183</v>
      </c>
      <c r="F28" s="11">
        <f>IFERROR(VLOOKUP($B28,'EOD - SEPTEMBER 3, 2026'!$B$2:$G$1004,3,FALSE()),0)</f>
        <v>3765</v>
      </c>
      <c r="G28" s="12">
        <f>IFERROR(VLOOKUP($B28,'EOD - SEPTEMBER 3, 2026'!$B:$G,6,FALSE()),0)</f>
        <v>2400</v>
      </c>
      <c r="H28" s="13">
        <f t="shared" si="2"/>
        <v>470.625</v>
      </c>
      <c r="I28" s="13">
        <f t="shared" si="3"/>
        <v>894.375</v>
      </c>
      <c r="J28" s="13">
        <f t="shared" si="4"/>
        <v>250</v>
      </c>
      <c r="N28" s="14"/>
      <c r="O28" s="14"/>
      <c r="P28" s="14"/>
      <c r="R28" s="14"/>
    </row>
    <row r="29" spans="1:18" ht="18" customHeight="1">
      <c r="A29" s="6">
        <v>27</v>
      </c>
      <c r="B29" s="7" t="str">
        <f t="shared" si="0"/>
        <v>DDN-1737</v>
      </c>
      <c r="C29" s="8" t="str">
        <f t="shared" si="1"/>
        <v>PUROK 3B PARAISO CAWAG</v>
      </c>
      <c r="D29" s="15" t="s">
        <v>42</v>
      </c>
      <c r="E29" s="10" t="s">
        <v>43</v>
      </c>
      <c r="F29" s="11">
        <f>IFERROR(VLOOKUP($B29,'EOD - SEPTEMBER 3, 2026'!$B$2:$G$1004,3,FALSE()),0)</f>
        <v>2660</v>
      </c>
      <c r="G29" s="12">
        <f>IFERROR(VLOOKUP($B29,'EOD - SEPTEMBER 3, 2026'!$B:$G,6,FALSE()),0)</f>
        <v>1200</v>
      </c>
      <c r="H29" s="13">
        <f t="shared" si="2"/>
        <v>332.5</v>
      </c>
      <c r="I29" s="13">
        <f t="shared" si="3"/>
        <v>1127.5</v>
      </c>
      <c r="J29" s="13">
        <f t="shared" si="4"/>
        <v>250</v>
      </c>
      <c r="N29" s="14"/>
      <c r="O29" s="14"/>
      <c r="P29" s="14"/>
      <c r="R29" s="14"/>
    </row>
    <row r="30" spans="1:18" ht="18" customHeight="1">
      <c r="A30" s="6">
        <v>28</v>
      </c>
      <c r="B30" s="7" t="s">
        <v>44</v>
      </c>
      <c r="C30" s="92" t="s">
        <v>45</v>
      </c>
      <c r="D30" s="15"/>
      <c r="E30" s="10" t="s">
        <v>184</v>
      </c>
      <c r="F30" s="11">
        <f>IFERROR(VLOOKUP($B30,'EOD - SEPTEMBER 3, 2026'!$B$2:$G$1004,3,FALSE()),0)</f>
        <v>4050</v>
      </c>
      <c r="G30" s="12">
        <f>IFERROR(VLOOKUP($B30,'EOD - SEPTEMBER 3, 2026'!$B:$G,6,FALSE()),0)</f>
        <v>1600</v>
      </c>
      <c r="H30" s="13">
        <f t="shared" si="2"/>
        <v>506.25</v>
      </c>
      <c r="I30" s="13">
        <f t="shared" si="3"/>
        <v>1943.75</v>
      </c>
      <c r="J30" s="13">
        <f t="shared" si="4"/>
        <v>250</v>
      </c>
      <c r="N30" s="14"/>
      <c r="O30" s="14"/>
      <c r="P30" s="14"/>
      <c r="R30" s="14"/>
    </row>
    <row r="31" spans="1:18" ht="18" customHeight="1">
      <c r="A31" s="6">
        <v>29</v>
      </c>
      <c r="B31" s="7" t="s">
        <v>46</v>
      </c>
      <c r="C31" s="93" t="s">
        <v>47</v>
      </c>
      <c r="D31" s="15"/>
      <c r="E31" s="10" t="s">
        <v>209</v>
      </c>
      <c r="F31" s="11">
        <f>IFERROR(VLOOKUP($B31,'EOD - SEPTEMBER 3, 2026'!$B$2:$G$1004,3,FALSE()),0)</f>
        <v>1640</v>
      </c>
      <c r="G31" s="12">
        <f>IFERROR(VLOOKUP($B31,'EOD - SEPTEMBER 3, 2026'!$B:$G,6,FALSE()),0)</f>
        <v>800</v>
      </c>
      <c r="H31" s="13">
        <f t="shared" si="2"/>
        <v>205</v>
      </c>
      <c r="I31" s="13">
        <f t="shared" si="3"/>
        <v>635</v>
      </c>
      <c r="J31" s="13">
        <f t="shared" si="4"/>
        <v>250</v>
      </c>
      <c r="N31" s="14"/>
      <c r="O31" s="14"/>
      <c r="P31" s="14"/>
      <c r="R31" s="14"/>
    </row>
    <row r="32" spans="1:18" ht="18" customHeight="1">
      <c r="A32" s="6">
        <v>30</v>
      </c>
      <c r="B32" s="20" t="s">
        <v>48</v>
      </c>
      <c r="C32" s="33" t="s">
        <v>49</v>
      </c>
      <c r="D32" s="21"/>
      <c r="E32" s="22"/>
      <c r="F32" s="11">
        <f>IFERROR(VLOOKUP($B32,'EOD - SEPTEMBER 3, 2026'!$B$2:$G$1004,3,FALSE()),0)</f>
        <v>0</v>
      </c>
      <c r="G32" s="12">
        <f>IFERROR(VLOOKUP($B32,'EOD - SEPTEMBER 3, 2026'!$B:$G,6,FALSE()),0)</f>
        <v>0</v>
      </c>
      <c r="H32" s="13">
        <f t="shared" si="2"/>
        <v>0</v>
      </c>
      <c r="I32" s="13">
        <f t="shared" si="3"/>
        <v>0</v>
      </c>
      <c r="J32" s="13" t="str">
        <f t="shared" si="4"/>
        <v>0</v>
      </c>
      <c r="N32" s="14"/>
      <c r="O32" s="14"/>
      <c r="P32" s="14"/>
      <c r="R32" s="14"/>
    </row>
    <row r="33" spans="1:18" s="76" customFormat="1" ht="18" customHeight="1">
      <c r="A33" s="74">
        <v>31</v>
      </c>
      <c r="B33" s="68" t="s">
        <v>50</v>
      </c>
      <c r="C33" s="75" t="s">
        <v>167</v>
      </c>
      <c r="D33" s="70"/>
      <c r="E33" s="18" t="s">
        <v>168</v>
      </c>
      <c r="F33" s="71">
        <f>IFERROR(VLOOKUP($B33,'EOD - SEPTEMBER 3, 2026'!$B$2:$G$1004,3,FALSE()),0)</f>
        <v>6189</v>
      </c>
      <c r="G33" s="72">
        <f>IFERROR(VLOOKUP($B33,'EOD - SEPTEMBER 3, 2026'!$B:$G,6,FALSE()),0)</f>
        <v>4400</v>
      </c>
      <c r="H33" s="73">
        <f t="shared" si="2"/>
        <v>773.625</v>
      </c>
      <c r="I33" s="73">
        <f t="shared" si="3"/>
        <v>1015.375</v>
      </c>
      <c r="J33" s="73">
        <f t="shared" si="4"/>
        <v>310</v>
      </c>
      <c r="N33" s="77"/>
      <c r="O33" s="77"/>
      <c r="P33" s="77"/>
      <c r="R33" s="77"/>
    </row>
    <row r="34" spans="1:18" s="31" customFormat="1" ht="18" customHeight="1">
      <c r="A34" s="23">
        <v>32</v>
      </c>
      <c r="B34" s="24" t="s">
        <v>51</v>
      </c>
      <c r="C34" s="25" t="s">
        <v>52</v>
      </c>
      <c r="D34" s="26"/>
      <c r="E34" s="27" t="s">
        <v>154</v>
      </c>
      <c r="F34" s="28">
        <f>IFERROR(VLOOKUP($B34,'EOD - SEPTEMBER 3, 2026'!$B$2:$G$1004,3,FALSE()),0)</f>
        <v>3794</v>
      </c>
      <c r="G34" s="29">
        <f>IFERROR(VLOOKUP($B34,'EOD - SEPTEMBER 3, 2026'!$B:$G,6,FALSE()),0)</f>
        <v>2400</v>
      </c>
      <c r="H34" s="30">
        <f t="shared" si="2"/>
        <v>474.25</v>
      </c>
      <c r="I34" s="30">
        <f t="shared" si="3"/>
        <v>919.75</v>
      </c>
      <c r="J34" s="30">
        <f t="shared" si="4"/>
        <v>250</v>
      </c>
      <c r="N34" s="32"/>
      <c r="O34" s="32"/>
      <c r="P34" s="32"/>
      <c r="R34" s="32"/>
    </row>
    <row r="35" spans="1:18" ht="18" customHeight="1">
      <c r="A35" s="6">
        <v>33</v>
      </c>
      <c r="B35" s="20" t="s">
        <v>53</v>
      </c>
      <c r="C35" s="33" t="s">
        <v>54</v>
      </c>
      <c r="D35" s="21"/>
      <c r="E35" s="22"/>
      <c r="F35" s="34">
        <f>IFERROR(VLOOKUP($B35,'EOD - SEPTEMBER 3, 2026'!$B$2:$G$1004,3,FALSE()),0)</f>
        <v>0</v>
      </c>
      <c r="G35" s="35">
        <f>IFERROR(VLOOKUP($B35,'EOD - SEPTEMBER 3, 2026'!$B:$G,6,FALSE()),0)</f>
        <v>0</v>
      </c>
      <c r="H35" s="36">
        <f t="shared" si="2"/>
        <v>0</v>
      </c>
      <c r="I35" s="36">
        <f t="shared" si="3"/>
        <v>0</v>
      </c>
      <c r="J35" s="36" t="str">
        <f t="shared" si="4"/>
        <v>0</v>
      </c>
      <c r="N35" s="14"/>
      <c r="O35" s="14"/>
      <c r="P35" s="14"/>
      <c r="R35" s="14"/>
    </row>
    <row r="36" spans="1:18" s="76" customFormat="1" ht="18" customHeight="1">
      <c r="A36" s="74">
        <v>34</v>
      </c>
      <c r="B36" s="68" t="s">
        <v>55</v>
      </c>
      <c r="C36" s="75" t="s">
        <v>56</v>
      </c>
      <c r="D36" s="70"/>
      <c r="E36" s="18" t="s">
        <v>211</v>
      </c>
      <c r="F36" s="71">
        <f>IFERROR(VLOOKUP($B36,'EOD - SEPTEMBER 3, 2026'!$B$2:$G$1004,3,FALSE()),0)</f>
        <v>3075</v>
      </c>
      <c r="G36" s="72">
        <f>IFERROR(VLOOKUP($B36,'EOD - SEPTEMBER 3, 2026'!$B:$G,6,FALSE()),0)</f>
        <v>0</v>
      </c>
      <c r="H36" s="73">
        <f t="shared" si="2"/>
        <v>384.375</v>
      </c>
      <c r="I36" s="73">
        <f t="shared" si="3"/>
        <v>2690.625</v>
      </c>
      <c r="J36" s="73">
        <f t="shared" si="4"/>
        <v>250</v>
      </c>
      <c r="N36" s="77"/>
      <c r="O36" s="77"/>
      <c r="P36" s="77"/>
      <c r="R36" s="77"/>
    </row>
    <row r="37" spans="1:18" ht="18" customHeight="1">
      <c r="A37" s="6">
        <v>35</v>
      </c>
      <c r="B37" s="20" t="s">
        <v>57</v>
      </c>
      <c r="C37" s="33" t="s">
        <v>58</v>
      </c>
      <c r="D37" s="21"/>
      <c r="E37" s="22"/>
      <c r="F37" s="34">
        <f>IFERROR(VLOOKUP($B37,'EOD - SEPTEMBER 3, 2026'!$B$2:$G$1004,3,FALSE()),0)</f>
        <v>0</v>
      </c>
      <c r="G37" s="35">
        <f>IFERROR(VLOOKUP($B37,'EOD - SEPTEMBER 3, 2026'!$B:$G,6,FALSE()),0)</f>
        <v>0</v>
      </c>
      <c r="H37" s="36">
        <f t="shared" si="2"/>
        <v>0</v>
      </c>
      <c r="I37" s="36">
        <f t="shared" si="3"/>
        <v>0</v>
      </c>
      <c r="J37" s="36" t="str">
        <f t="shared" si="4"/>
        <v>0</v>
      </c>
      <c r="N37" s="14"/>
      <c r="O37" s="14"/>
      <c r="P37" s="14"/>
      <c r="R37" s="14"/>
    </row>
    <row r="38" spans="1:18" s="31" customFormat="1" ht="18" customHeight="1">
      <c r="A38" s="23">
        <v>36</v>
      </c>
      <c r="B38" s="24" t="s">
        <v>59</v>
      </c>
      <c r="C38" s="25" t="s">
        <v>208</v>
      </c>
      <c r="D38" s="26"/>
      <c r="E38" s="27" t="s">
        <v>210</v>
      </c>
      <c r="F38" s="28">
        <f>IFERROR(VLOOKUP($B38,'EOD - SEPTEMBER 3, 2026'!$B$2:$G$1004,3,FALSE()),0)</f>
        <v>0</v>
      </c>
      <c r="G38" s="29">
        <f>IFERROR(VLOOKUP($B38,'EOD - SEPTEMBER 3, 2026'!$B:$G,6,FALSE()),0)</f>
        <v>0</v>
      </c>
      <c r="H38" s="30">
        <f t="shared" si="2"/>
        <v>0</v>
      </c>
      <c r="I38" s="30">
        <f t="shared" si="3"/>
        <v>0</v>
      </c>
      <c r="J38" s="36"/>
      <c r="N38" s="32"/>
      <c r="O38" s="32"/>
      <c r="P38" s="32"/>
      <c r="R38" s="32"/>
    </row>
    <row r="39" spans="1:18" s="76" customFormat="1" ht="18" customHeight="1">
      <c r="A39" s="74">
        <v>37</v>
      </c>
      <c r="B39" s="68" t="s">
        <v>60</v>
      </c>
      <c r="C39" s="75" t="s">
        <v>61</v>
      </c>
      <c r="D39" s="70"/>
      <c r="E39" s="18" t="s">
        <v>62</v>
      </c>
      <c r="F39" s="71">
        <f>IFERROR(VLOOKUP($B39,'EOD - SEPTEMBER 3, 2026'!$B$2:$G$1004,3,FALSE()),0)</f>
        <v>5669</v>
      </c>
      <c r="G39" s="72">
        <f>IFERROR(VLOOKUP($B39,'EOD - SEPTEMBER 3, 2026'!$B:$G,6,FALSE()),0)</f>
        <v>0</v>
      </c>
      <c r="H39" s="73">
        <f t="shared" si="2"/>
        <v>708.625</v>
      </c>
      <c r="I39" s="73">
        <f t="shared" si="3"/>
        <v>4960.375</v>
      </c>
      <c r="J39" s="73">
        <f t="shared" si="4"/>
        <v>300</v>
      </c>
      <c r="N39" s="77"/>
      <c r="O39" s="77"/>
      <c r="P39" s="77"/>
      <c r="R39" s="77"/>
    </row>
    <row r="40" spans="1:18" s="31" customFormat="1" ht="18" customHeight="1">
      <c r="A40" s="23">
        <v>38</v>
      </c>
      <c r="B40" s="24" t="s">
        <v>63</v>
      </c>
      <c r="C40" s="25" t="s">
        <v>64</v>
      </c>
      <c r="D40" s="26"/>
      <c r="E40" s="27" t="s">
        <v>169</v>
      </c>
      <c r="F40" s="28">
        <f>IFERROR(VLOOKUP($B40,'EOD - SEPTEMBER 3, 2026'!$B$2:$G$1004,3,FALSE()),0)</f>
        <v>1764</v>
      </c>
      <c r="G40" s="29">
        <f>IFERROR(VLOOKUP($B40,'EOD - SEPTEMBER 3, 2026'!$B:$G,6,FALSE()),0)</f>
        <v>0</v>
      </c>
      <c r="H40" s="30">
        <f t="shared" si="2"/>
        <v>220.5</v>
      </c>
      <c r="I40" s="30">
        <f t="shared" si="3"/>
        <v>1543.5</v>
      </c>
      <c r="J40" s="30">
        <f t="shared" si="4"/>
        <v>250</v>
      </c>
      <c r="N40" s="32"/>
      <c r="O40" s="32"/>
      <c r="P40" s="32"/>
      <c r="R40" s="32"/>
    </row>
    <row r="41" spans="1:18" ht="18" customHeight="1">
      <c r="A41" s="6"/>
      <c r="B41" s="6" t="s">
        <v>65</v>
      </c>
      <c r="C41" s="8" t="s">
        <v>65</v>
      </c>
      <c r="D41" s="37" t="s">
        <v>66</v>
      </c>
      <c r="E41" s="10" t="s">
        <v>67</v>
      </c>
      <c r="F41" s="11">
        <f>IFERROR(VLOOKUP($B41,'EOD - SEPTEMBER 3, 2026'!$B$2:$G$1004,3,FALSE()),0)</f>
        <v>0</v>
      </c>
      <c r="G41" s="12">
        <f>IFERROR(VLOOKUP($B41,'EOD - SEPTEMBER 3, 2026'!$B:$G,6,FALSE()),0)</f>
        <v>0</v>
      </c>
      <c r="H41" s="13">
        <f t="shared" si="2"/>
        <v>0</v>
      </c>
      <c r="I41" s="36">
        <f t="shared" si="3"/>
        <v>0</v>
      </c>
      <c r="J41" s="13">
        <v>500</v>
      </c>
      <c r="N41" s="14"/>
      <c r="O41" s="14"/>
      <c r="P41" s="14"/>
      <c r="R41" s="14"/>
    </row>
    <row r="42" spans="1:18" ht="18" customHeight="1">
      <c r="A42" s="6"/>
      <c r="B42" s="6"/>
      <c r="C42" s="8"/>
      <c r="D42" s="37" t="s">
        <v>66</v>
      </c>
      <c r="E42" s="10" t="s">
        <v>68</v>
      </c>
      <c r="F42" s="11">
        <f>IFERROR(VLOOKUP($B42,'EOD - SEPTEMBER 3, 2026'!$B$2:$G$1004,3,FALSE()),0)</f>
        <v>0</v>
      </c>
      <c r="G42" s="12">
        <f>IFERROR(VLOOKUP($B42,'EOD - SEPTEMBER 3, 2026'!$B:$G,6,FALSE()),0)</f>
        <v>0</v>
      </c>
      <c r="H42" s="13">
        <f t="shared" si="2"/>
        <v>0</v>
      </c>
      <c r="I42" s="36">
        <f t="shared" si="3"/>
        <v>0</v>
      </c>
      <c r="J42" s="13">
        <v>500</v>
      </c>
      <c r="N42" s="14"/>
      <c r="O42" s="14"/>
      <c r="P42" s="14"/>
      <c r="R42" s="14"/>
    </row>
    <row r="43" spans="1:18" ht="20.25" customHeight="1">
      <c r="A43" s="6"/>
      <c r="B43" s="6"/>
      <c r="C43" s="37" t="s">
        <v>69</v>
      </c>
      <c r="D43" s="37" t="s">
        <v>69</v>
      </c>
      <c r="E43" s="15"/>
      <c r="F43" s="38">
        <f>SUM(F3:F42)</f>
        <v>143220</v>
      </c>
      <c r="G43" s="38">
        <f>SUM(G3:G41)</f>
        <v>44000</v>
      </c>
      <c r="H43" s="38">
        <f>SUM(H3:H41)</f>
        <v>17902.5</v>
      </c>
      <c r="I43" s="38">
        <f>SUM(I3:I41)</f>
        <v>81317.5</v>
      </c>
      <c r="J43" s="38">
        <f>SUM(J3:J42)</f>
        <v>9520</v>
      </c>
      <c r="N43" s="14"/>
      <c r="O43" s="14"/>
      <c r="P43" s="14"/>
      <c r="R43" s="14"/>
    </row>
    <row r="44" spans="1:18" ht="21" customHeight="1">
      <c r="A44" s="6"/>
      <c r="B44" s="6"/>
      <c r="C44" s="8"/>
      <c r="D44" s="15"/>
      <c r="E44" s="15"/>
      <c r="F44" s="15"/>
      <c r="G44" s="15"/>
      <c r="H44" s="39" t="s">
        <v>9</v>
      </c>
      <c r="I44" s="40">
        <f>H43</f>
        <v>17902.5</v>
      </c>
      <c r="J44" s="15"/>
      <c r="N44" s="14"/>
      <c r="O44" s="14"/>
      <c r="P44" s="14"/>
      <c r="R44" s="14"/>
    </row>
    <row r="45" spans="1:18" ht="19.5" customHeight="1">
      <c r="A45" s="6"/>
      <c r="B45" s="6"/>
      <c r="C45" s="6"/>
      <c r="D45" s="15"/>
      <c r="E45" s="15"/>
      <c r="F45" s="15"/>
      <c r="G45" s="15"/>
      <c r="H45" s="41" t="s">
        <v>70</v>
      </c>
      <c r="I45" s="38">
        <f>SUM(I43:I44)</f>
        <v>99220</v>
      </c>
      <c r="J45" s="15"/>
      <c r="N45" s="14"/>
      <c r="O45" s="14"/>
      <c r="P45" s="14"/>
      <c r="R45" s="14"/>
    </row>
    <row r="46" spans="1:18" ht="14.25" customHeight="1">
      <c r="D46" s="42"/>
      <c r="N46" s="14"/>
      <c r="O46" s="14"/>
      <c r="P46" s="14"/>
      <c r="R46" s="14"/>
    </row>
    <row r="47" spans="1:18" ht="1.5" customHeight="1">
      <c r="N47" s="14"/>
      <c r="O47" s="14"/>
      <c r="P47" s="14"/>
      <c r="R47" s="14"/>
    </row>
    <row r="48" spans="1:18" ht="18" hidden="1" customHeight="1">
      <c r="J48" s="14">
        <v>250</v>
      </c>
      <c r="N48" s="14"/>
      <c r="O48" s="14"/>
      <c r="P48" s="14"/>
      <c r="R48" s="14"/>
    </row>
    <row r="49" spans="8:18" ht="18" hidden="1" customHeight="1">
      <c r="H49" s="2">
        <v>5000</v>
      </c>
      <c r="I49" s="2">
        <v>6000</v>
      </c>
      <c r="J49" s="14">
        <v>300</v>
      </c>
      <c r="N49" s="14"/>
      <c r="O49" s="14"/>
      <c r="P49" s="14"/>
      <c r="R49" s="14"/>
    </row>
    <row r="50" spans="8:18" ht="18" hidden="1" customHeight="1">
      <c r="H50" s="2">
        <f t="shared" ref="H50:H81" si="5">H49+1000</f>
        <v>6000</v>
      </c>
      <c r="I50" s="2">
        <f t="shared" ref="I50:I81" si="6">I49+1000</f>
        <v>7000</v>
      </c>
      <c r="J50" s="14">
        <f t="shared" ref="J50:J81" si="7">J49+10</f>
        <v>310</v>
      </c>
      <c r="N50" s="14"/>
      <c r="O50" s="14"/>
      <c r="P50" s="14"/>
      <c r="R50" s="14"/>
    </row>
    <row r="51" spans="8:18" ht="18" hidden="1" customHeight="1">
      <c r="H51" s="2">
        <f t="shared" si="5"/>
        <v>7000</v>
      </c>
      <c r="I51" s="2">
        <f t="shared" si="6"/>
        <v>8000</v>
      </c>
      <c r="J51" s="14">
        <f t="shared" si="7"/>
        <v>320</v>
      </c>
      <c r="N51" s="14"/>
      <c r="O51" s="14"/>
      <c r="P51" s="14"/>
      <c r="R51" s="14"/>
    </row>
    <row r="52" spans="8:18" ht="18" hidden="1" customHeight="1">
      <c r="H52" s="2">
        <f t="shared" si="5"/>
        <v>8000</v>
      </c>
      <c r="I52" s="2">
        <f t="shared" si="6"/>
        <v>9000</v>
      </c>
      <c r="J52" s="14">
        <f t="shared" si="7"/>
        <v>330</v>
      </c>
      <c r="P52" s="14"/>
    </row>
    <row r="53" spans="8:18" ht="18" hidden="1" customHeight="1">
      <c r="H53" s="2">
        <f t="shared" si="5"/>
        <v>9000</v>
      </c>
      <c r="I53" s="2">
        <f t="shared" si="6"/>
        <v>10000</v>
      </c>
      <c r="J53" s="14">
        <f t="shared" si="7"/>
        <v>340</v>
      </c>
      <c r="P53" s="14"/>
    </row>
    <row r="54" spans="8:18" ht="18" hidden="1" customHeight="1">
      <c r="H54" s="2">
        <f t="shared" si="5"/>
        <v>10000</v>
      </c>
      <c r="I54" s="2">
        <f t="shared" si="6"/>
        <v>11000</v>
      </c>
      <c r="J54" s="14">
        <f t="shared" si="7"/>
        <v>350</v>
      </c>
    </row>
    <row r="55" spans="8:18" ht="18" hidden="1" customHeight="1">
      <c r="H55" s="2">
        <f t="shared" si="5"/>
        <v>11000</v>
      </c>
      <c r="I55" s="2">
        <f t="shared" si="6"/>
        <v>12000</v>
      </c>
      <c r="J55" s="14">
        <f t="shared" si="7"/>
        <v>360</v>
      </c>
    </row>
    <row r="56" spans="8:18" ht="18" hidden="1" customHeight="1">
      <c r="H56" s="2">
        <f t="shared" si="5"/>
        <v>12000</v>
      </c>
      <c r="I56" s="2">
        <f t="shared" si="6"/>
        <v>13000</v>
      </c>
      <c r="J56" s="14">
        <f t="shared" si="7"/>
        <v>370</v>
      </c>
    </row>
    <row r="57" spans="8:18" ht="18" hidden="1" customHeight="1">
      <c r="H57" s="2">
        <f t="shared" si="5"/>
        <v>13000</v>
      </c>
      <c r="I57" s="2">
        <f t="shared" si="6"/>
        <v>14000</v>
      </c>
      <c r="J57" s="14">
        <f t="shared" si="7"/>
        <v>380</v>
      </c>
    </row>
    <row r="58" spans="8:18" ht="18" hidden="1" customHeight="1">
      <c r="H58" s="2">
        <f t="shared" si="5"/>
        <v>14000</v>
      </c>
      <c r="I58" s="2">
        <f t="shared" si="6"/>
        <v>15000</v>
      </c>
      <c r="J58" s="14">
        <f t="shared" si="7"/>
        <v>390</v>
      </c>
    </row>
    <row r="59" spans="8:18" ht="18" hidden="1" customHeight="1">
      <c r="H59" s="2">
        <f t="shared" si="5"/>
        <v>15000</v>
      </c>
      <c r="I59" s="2">
        <f t="shared" si="6"/>
        <v>16000</v>
      </c>
      <c r="J59" s="14">
        <f t="shared" si="7"/>
        <v>400</v>
      </c>
    </row>
    <row r="60" spans="8:18" ht="18" hidden="1" customHeight="1">
      <c r="H60" s="2">
        <f t="shared" si="5"/>
        <v>16000</v>
      </c>
      <c r="I60" s="2">
        <f t="shared" si="6"/>
        <v>17000</v>
      </c>
      <c r="J60" s="14">
        <f t="shared" si="7"/>
        <v>410</v>
      </c>
    </row>
    <row r="61" spans="8:18" ht="18" hidden="1" customHeight="1">
      <c r="H61" s="2">
        <f t="shared" si="5"/>
        <v>17000</v>
      </c>
      <c r="I61" s="2">
        <f t="shared" si="6"/>
        <v>18000</v>
      </c>
      <c r="J61" s="14">
        <f t="shared" si="7"/>
        <v>420</v>
      </c>
    </row>
    <row r="62" spans="8:18" ht="18" hidden="1" customHeight="1">
      <c r="H62" s="2">
        <f t="shared" si="5"/>
        <v>18000</v>
      </c>
      <c r="I62" s="2">
        <f t="shared" si="6"/>
        <v>19000</v>
      </c>
      <c r="J62" s="14">
        <f t="shared" si="7"/>
        <v>430</v>
      </c>
    </row>
    <row r="63" spans="8:18" ht="18" hidden="1" customHeight="1">
      <c r="H63" s="2">
        <f t="shared" si="5"/>
        <v>19000</v>
      </c>
      <c r="I63" s="2">
        <f t="shared" si="6"/>
        <v>20000</v>
      </c>
      <c r="J63" s="14">
        <f t="shared" si="7"/>
        <v>440</v>
      </c>
    </row>
    <row r="64" spans="8:18" ht="18" hidden="1" customHeight="1">
      <c r="H64" s="2">
        <f t="shared" si="5"/>
        <v>20000</v>
      </c>
      <c r="I64" s="2">
        <f t="shared" si="6"/>
        <v>21000</v>
      </c>
      <c r="J64" s="14">
        <f t="shared" si="7"/>
        <v>450</v>
      </c>
    </row>
    <row r="65" spans="8:10" ht="14.25" hidden="1" customHeight="1">
      <c r="H65" s="2">
        <f t="shared" si="5"/>
        <v>21000</v>
      </c>
      <c r="I65" s="2">
        <f t="shared" si="6"/>
        <v>22000</v>
      </c>
      <c r="J65" s="14">
        <f t="shared" si="7"/>
        <v>460</v>
      </c>
    </row>
    <row r="66" spans="8:10" ht="14.25" hidden="1" customHeight="1">
      <c r="H66" s="2">
        <f t="shared" si="5"/>
        <v>22000</v>
      </c>
      <c r="I66" s="2">
        <f t="shared" si="6"/>
        <v>23000</v>
      </c>
      <c r="J66" s="14">
        <f t="shared" si="7"/>
        <v>470</v>
      </c>
    </row>
    <row r="67" spans="8:10" ht="14.25" hidden="1" customHeight="1">
      <c r="H67" s="2">
        <f t="shared" si="5"/>
        <v>23000</v>
      </c>
      <c r="I67" s="2">
        <f t="shared" si="6"/>
        <v>24000</v>
      </c>
      <c r="J67" s="14">
        <f t="shared" si="7"/>
        <v>480</v>
      </c>
    </row>
    <row r="68" spans="8:10" ht="14.25" hidden="1" customHeight="1">
      <c r="H68" s="2">
        <f t="shared" si="5"/>
        <v>24000</v>
      </c>
      <c r="I68" s="2">
        <f t="shared" si="6"/>
        <v>25000</v>
      </c>
      <c r="J68" s="14">
        <f t="shared" si="7"/>
        <v>490</v>
      </c>
    </row>
    <row r="69" spans="8:10" ht="14.25" hidden="1" customHeight="1">
      <c r="H69" s="2">
        <f t="shared" si="5"/>
        <v>25000</v>
      </c>
      <c r="I69" s="2">
        <f t="shared" si="6"/>
        <v>26000</v>
      </c>
      <c r="J69" s="14">
        <f t="shared" si="7"/>
        <v>500</v>
      </c>
    </row>
    <row r="70" spans="8:10" ht="14.25" hidden="1" customHeight="1">
      <c r="H70" s="2">
        <f t="shared" si="5"/>
        <v>26000</v>
      </c>
      <c r="I70" s="2">
        <f t="shared" si="6"/>
        <v>27000</v>
      </c>
      <c r="J70" s="14">
        <f t="shared" si="7"/>
        <v>510</v>
      </c>
    </row>
    <row r="71" spans="8:10" ht="14.25" hidden="1" customHeight="1">
      <c r="H71" s="2">
        <f t="shared" si="5"/>
        <v>27000</v>
      </c>
      <c r="I71" s="2">
        <f t="shared" si="6"/>
        <v>28000</v>
      </c>
      <c r="J71" s="14">
        <f t="shared" si="7"/>
        <v>520</v>
      </c>
    </row>
    <row r="72" spans="8:10" ht="14.25" hidden="1" customHeight="1">
      <c r="H72" s="2">
        <f t="shared" si="5"/>
        <v>28000</v>
      </c>
      <c r="I72" s="2">
        <f t="shared" si="6"/>
        <v>29000</v>
      </c>
      <c r="J72" s="14">
        <f t="shared" si="7"/>
        <v>530</v>
      </c>
    </row>
    <row r="73" spans="8:10" ht="14.25" hidden="1" customHeight="1">
      <c r="H73" s="2">
        <f t="shared" si="5"/>
        <v>29000</v>
      </c>
      <c r="I73" s="2">
        <f t="shared" si="6"/>
        <v>30000</v>
      </c>
      <c r="J73" s="14">
        <f t="shared" si="7"/>
        <v>540</v>
      </c>
    </row>
    <row r="74" spans="8:10" ht="14.25" hidden="1" customHeight="1">
      <c r="H74" s="2">
        <f t="shared" si="5"/>
        <v>30000</v>
      </c>
      <c r="I74" s="2">
        <f t="shared" si="6"/>
        <v>31000</v>
      </c>
      <c r="J74" s="14">
        <f t="shared" si="7"/>
        <v>550</v>
      </c>
    </row>
    <row r="75" spans="8:10" ht="14.25" hidden="1" customHeight="1">
      <c r="H75" s="2">
        <f t="shared" si="5"/>
        <v>31000</v>
      </c>
      <c r="I75" s="2">
        <f t="shared" si="6"/>
        <v>32000</v>
      </c>
      <c r="J75" s="14">
        <f t="shared" si="7"/>
        <v>560</v>
      </c>
    </row>
    <row r="76" spans="8:10" ht="14.25" hidden="1" customHeight="1">
      <c r="H76" s="2">
        <f t="shared" si="5"/>
        <v>32000</v>
      </c>
      <c r="I76" s="2">
        <f t="shared" si="6"/>
        <v>33000</v>
      </c>
      <c r="J76" s="14">
        <f t="shared" si="7"/>
        <v>570</v>
      </c>
    </row>
    <row r="77" spans="8:10" ht="14.25" hidden="1" customHeight="1">
      <c r="H77" s="2">
        <f t="shared" si="5"/>
        <v>33000</v>
      </c>
      <c r="I77" s="2">
        <f t="shared" si="6"/>
        <v>34000</v>
      </c>
      <c r="J77" s="14">
        <f t="shared" si="7"/>
        <v>580</v>
      </c>
    </row>
    <row r="78" spans="8:10" ht="14.25" hidden="1" customHeight="1">
      <c r="H78" s="2">
        <f t="shared" si="5"/>
        <v>34000</v>
      </c>
      <c r="I78" s="2">
        <f t="shared" si="6"/>
        <v>35000</v>
      </c>
      <c r="J78" s="14">
        <f t="shared" si="7"/>
        <v>590</v>
      </c>
    </row>
    <row r="79" spans="8:10" ht="14.25" hidden="1" customHeight="1">
      <c r="H79" s="2">
        <f t="shared" si="5"/>
        <v>35000</v>
      </c>
      <c r="I79" s="2">
        <f t="shared" si="6"/>
        <v>36000</v>
      </c>
      <c r="J79" s="14">
        <f t="shared" si="7"/>
        <v>600</v>
      </c>
    </row>
    <row r="80" spans="8:10" ht="14.25" hidden="1" customHeight="1">
      <c r="H80" s="2">
        <f t="shared" si="5"/>
        <v>36000</v>
      </c>
      <c r="I80" s="2">
        <f t="shared" si="6"/>
        <v>37000</v>
      </c>
      <c r="J80" s="14">
        <f t="shared" si="7"/>
        <v>610</v>
      </c>
    </row>
    <row r="81" spans="8:10" ht="14.25" hidden="1" customHeight="1">
      <c r="H81" s="2">
        <f t="shared" si="5"/>
        <v>37000</v>
      </c>
      <c r="I81" s="2">
        <f t="shared" si="6"/>
        <v>38000</v>
      </c>
      <c r="J81" s="14">
        <f t="shared" si="7"/>
        <v>620</v>
      </c>
    </row>
    <row r="82" spans="8:10" ht="14.25" hidden="1" customHeight="1">
      <c r="H82" s="2">
        <f t="shared" ref="H82:H100" si="8">H81+1000</f>
        <v>38000</v>
      </c>
      <c r="I82" s="2">
        <f t="shared" ref="I82:I100" si="9">I81+1000</f>
        <v>39000</v>
      </c>
      <c r="J82" s="14">
        <f t="shared" ref="J82:J100" si="10">J81+10</f>
        <v>630</v>
      </c>
    </row>
    <row r="83" spans="8:10" ht="14.25" hidden="1" customHeight="1">
      <c r="H83" s="2">
        <f t="shared" si="8"/>
        <v>39000</v>
      </c>
      <c r="I83" s="2">
        <f t="shared" si="9"/>
        <v>40000</v>
      </c>
      <c r="J83" s="14">
        <f t="shared" si="10"/>
        <v>640</v>
      </c>
    </row>
    <row r="84" spans="8:10" ht="14.25" hidden="1" customHeight="1">
      <c r="H84" s="2">
        <f t="shared" si="8"/>
        <v>40000</v>
      </c>
      <c r="I84" s="2">
        <f t="shared" si="9"/>
        <v>41000</v>
      </c>
      <c r="J84" s="14">
        <f t="shared" si="10"/>
        <v>650</v>
      </c>
    </row>
    <row r="85" spans="8:10" ht="14.25" hidden="1" customHeight="1">
      <c r="H85" s="2">
        <f t="shared" si="8"/>
        <v>41000</v>
      </c>
      <c r="I85" s="2">
        <f t="shared" si="9"/>
        <v>42000</v>
      </c>
      <c r="J85" s="14">
        <f t="shared" si="10"/>
        <v>660</v>
      </c>
    </row>
    <row r="86" spans="8:10" ht="14.25" hidden="1" customHeight="1">
      <c r="H86" s="2">
        <f t="shared" si="8"/>
        <v>42000</v>
      </c>
      <c r="I86" s="2">
        <f t="shared" si="9"/>
        <v>43000</v>
      </c>
      <c r="J86" s="14">
        <f t="shared" si="10"/>
        <v>670</v>
      </c>
    </row>
    <row r="87" spans="8:10" ht="14.25" hidden="1" customHeight="1">
      <c r="H87" s="2">
        <f t="shared" si="8"/>
        <v>43000</v>
      </c>
      <c r="I87" s="2">
        <f t="shared" si="9"/>
        <v>44000</v>
      </c>
      <c r="J87" s="14">
        <f t="shared" si="10"/>
        <v>680</v>
      </c>
    </row>
    <row r="88" spans="8:10" ht="14.25" hidden="1" customHeight="1">
      <c r="H88" s="2">
        <f t="shared" si="8"/>
        <v>44000</v>
      </c>
      <c r="I88" s="2">
        <f t="shared" si="9"/>
        <v>45000</v>
      </c>
      <c r="J88" s="14">
        <f t="shared" si="10"/>
        <v>690</v>
      </c>
    </row>
    <row r="89" spans="8:10" ht="14.25" hidden="1" customHeight="1">
      <c r="H89" s="2">
        <f t="shared" si="8"/>
        <v>45000</v>
      </c>
      <c r="I89" s="2">
        <f t="shared" si="9"/>
        <v>46000</v>
      </c>
      <c r="J89" s="14">
        <f t="shared" si="10"/>
        <v>700</v>
      </c>
    </row>
    <row r="90" spans="8:10" ht="14.25" hidden="1" customHeight="1">
      <c r="H90" s="2">
        <f t="shared" si="8"/>
        <v>46000</v>
      </c>
      <c r="I90" s="2">
        <f t="shared" si="9"/>
        <v>47000</v>
      </c>
      <c r="J90" s="14">
        <f t="shared" si="10"/>
        <v>710</v>
      </c>
    </row>
    <row r="91" spans="8:10" ht="14.25" hidden="1" customHeight="1">
      <c r="H91" s="2">
        <f t="shared" si="8"/>
        <v>47000</v>
      </c>
      <c r="I91" s="2">
        <f t="shared" si="9"/>
        <v>48000</v>
      </c>
      <c r="J91" s="14">
        <f t="shared" si="10"/>
        <v>720</v>
      </c>
    </row>
    <row r="92" spans="8:10" ht="14.25" hidden="1" customHeight="1">
      <c r="H92" s="2">
        <f t="shared" si="8"/>
        <v>48000</v>
      </c>
      <c r="I92" s="2">
        <f t="shared" si="9"/>
        <v>49000</v>
      </c>
      <c r="J92" s="14">
        <f t="shared" si="10"/>
        <v>730</v>
      </c>
    </row>
    <row r="93" spans="8:10" ht="14.25" hidden="1" customHeight="1">
      <c r="H93" s="2">
        <f t="shared" si="8"/>
        <v>49000</v>
      </c>
      <c r="I93" s="2">
        <f t="shared" si="9"/>
        <v>50000</v>
      </c>
      <c r="J93" s="14">
        <f t="shared" si="10"/>
        <v>740</v>
      </c>
    </row>
    <row r="94" spans="8:10" ht="14.25" hidden="1" customHeight="1">
      <c r="H94" s="2">
        <f t="shared" si="8"/>
        <v>50000</v>
      </c>
      <c r="I94" s="2">
        <f t="shared" si="9"/>
        <v>51000</v>
      </c>
      <c r="J94" s="14">
        <f t="shared" si="10"/>
        <v>750</v>
      </c>
    </row>
    <row r="95" spans="8:10" ht="14.25" hidden="1" customHeight="1">
      <c r="H95" s="2">
        <f t="shared" si="8"/>
        <v>51000</v>
      </c>
      <c r="I95" s="2">
        <f t="shared" si="9"/>
        <v>52000</v>
      </c>
      <c r="J95" s="14">
        <f t="shared" si="10"/>
        <v>760</v>
      </c>
    </row>
    <row r="96" spans="8:10" ht="14.25" hidden="1" customHeight="1">
      <c r="H96" s="2">
        <f t="shared" si="8"/>
        <v>52000</v>
      </c>
      <c r="I96" s="2">
        <f t="shared" si="9"/>
        <v>53000</v>
      </c>
      <c r="J96" s="14">
        <f t="shared" si="10"/>
        <v>770</v>
      </c>
    </row>
    <row r="97" spans="3:10" ht="14.25" hidden="1" customHeight="1">
      <c r="H97" s="2">
        <f t="shared" si="8"/>
        <v>53000</v>
      </c>
      <c r="I97" s="2">
        <f t="shared" si="9"/>
        <v>54000</v>
      </c>
      <c r="J97" s="14">
        <f t="shared" si="10"/>
        <v>780</v>
      </c>
    </row>
    <row r="98" spans="3:10" ht="14.25" hidden="1" customHeight="1">
      <c r="H98" s="2">
        <f t="shared" si="8"/>
        <v>54000</v>
      </c>
      <c r="I98" s="2">
        <f t="shared" si="9"/>
        <v>55000</v>
      </c>
      <c r="J98" s="14">
        <f t="shared" si="10"/>
        <v>790</v>
      </c>
    </row>
    <row r="99" spans="3:10" ht="14.25" hidden="1" customHeight="1">
      <c r="H99" s="2">
        <f t="shared" si="8"/>
        <v>55000</v>
      </c>
      <c r="I99" s="2">
        <f t="shared" si="9"/>
        <v>56000</v>
      </c>
      <c r="J99" s="14">
        <f t="shared" si="10"/>
        <v>800</v>
      </c>
    </row>
    <row r="100" spans="3:10" ht="14.25" hidden="1" customHeight="1">
      <c r="H100" s="2">
        <f t="shared" si="8"/>
        <v>56000</v>
      </c>
      <c r="I100" s="2">
        <f t="shared" si="9"/>
        <v>57000</v>
      </c>
      <c r="J100" s="14">
        <f t="shared" si="10"/>
        <v>810</v>
      </c>
    </row>
    <row r="101" spans="3:10" ht="9" hidden="1" customHeight="1">
      <c r="J101" s="14"/>
    </row>
    <row r="102" spans="3:10" ht="30.75" customHeight="1">
      <c r="E102" s="96"/>
      <c r="F102" s="96"/>
      <c r="J102" s="14"/>
    </row>
    <row r="103" spans="3:10" ht="24" customHeight="1">
      <c r="C103" s="83" t="s">
        <v>156</v>
      </c>
      <c r="E103" s="97"/>
      <c r="F103" s="97"/>
      <c r="J103" s="14"/>
    </row>
    <row r="104" spans="3:10" ht="19.5" customHeight="1">
      <c r="C104" s="84" t="s">
        <v>157</v>
      </c>
      <c r="E104" s="43"/>
      <c r="F104" s="44"/>
      <c r="J104" s="14"/>
    </row>
    <row r="105" spans="3:10" ht="27" customHeight="1">
      <c r="E105" s="43"/>
      <c r="F105" s="44"/>
    </row>
    <row r="106" spans="3:10" ht="24.75" customHeight="1">
      <c r="E106" s="43"/>
      <c r="F106" s="44"/>
    </row>
    <row r="107" spans="3:10" ht="25.5" customHeight="1">
      <c r="E107" s="43"/>
      <c r="F107" s="44"/>
    </row>
    <row r="108" spans="3:10" ht="23.25" customHeight="1">
      <c r="E108" s="45"/>
      <c r="F108" s="44"/>
    </row>
    <row r="109" spans="3:10" ht="24.75" customHeight="1">
      <c r="E109" s="45"/>
      <c r="F109" s="44"/>
    </row>
    <row r="110" spans="3:10" ht="14.25" customHeight="1">
      <c r="E110" s="46"/>
    </row>
    <row r="111" spans="3:10" ht="14.25" customHeight="1">
      <c r="E111"/>
    </row>
    <row r="112" spans="3:10" ht="14.25" customHeight="1">
      <c r="E112"/>
    </row>
    <row r="113" spans="5:7" ht="14.25" customHeight="1">
      <c r="E113"/>
      <c r="G113" s="16"/>
    </row>
    <row r="114" spans="5:7" ht="14.25" customHeight="1">
      <c r="E114"/>
      <c r="G114" s="16"/>
    </row>
    <row r="115" spans="5:7" ht="14.25" customHeight="1">
      <c r="E115"/>
      <c r="G115" s="47"/>
    </row>
    <row r="116" spans="5:7" ht="14.25" customHeight="1">
      <c r="E116"/>
      <c r="G116" s="48"/>
    </row>
    <row r="117" spans="5:7" ht="14.25" customHeight="1">
      <c r="E117"/>
      <c r="G117" s="49"/>
    </row>
    <row r="118" spans="5:7" ht="14.25" customHeight="1">
      <c r="E118"/>
      <c r="G118" s="16"/>
    </row>
    <row r="119" spans="5:7" ht="14.25" customHeight="1">
      <c r="E119"/>
    </row>
    <row r="120" spans="5:7" ht="14.25" customHeight="1">
      <c r="E120" s="46"/>
    </row>
    <row r="121" spans="5:7" ht="14.25" customHeight="1">
      <c r="E121"/>
    </row>
    <row r="122" spans="5:7" ht="14.25" customHeight="1">
      <c r="E122"/>
    </row>
    <row r="123" spans="5:7" ht="14.25" customHeight="1">
      <c r="E123"/>
    </row>
    <row r="124" spans="5:7" ht="14.25" customHeight="1">
      <c r="E124"/>
    </row>
    <row r="125" spans="5:7" ht="14.25" customHeight="1">
      <c r="E125"/>
    </row>
    <row r="126" spans="5:7" ht="14.25" customHeight="1">
      <c r="E126"/>
    </row>
    <row r="127" spans="5:7" ht="14.25" customHeight="1">
      <c r="E127"/>
    </row>
    <row r="128" spans="5:7" ht="14.25" customHeight="1">
      <c r="E128"/>
    </row>
  </sheetData>
  <mergeCells count="3">
    <mergeCell ref="F1:J1"/>
    <mergeCell ref="E102:F102"/>
    <mergeCell ref="E103:F10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108"/>
  <sheetViews>
    <sheetView zoomScale="91" zoomScaleNormal="91" workbookViewId="0">
      <selection activeCell="F7" sqref="F7"/>
    </sheetView>
  </sheetViews>
  <sheetFormatPr defaultColWidth="9.125" defaultRowHeight="14.25"/>
  <cols>
    <col min="1" max="1" width="5.625" style="1" customWidth="1"/>
    <col min="2" max="2" width="19.625" style="1" customWidth="1"/>
    <col min="3" max="3" width="62.75" style="1" bestFit="1" customWidth="1"/>
    <col min="4" max="4" width="24.125" style="2" hidden="1" customWidth="1"/>
    <col min="5" max="5" width="40" style="2" customWidth="1"/>
    <col min="6" max="9" width="27" style="2" customWidth="1"/>
    <col min="10" max="10" width="19.875" style="2" customWidth="1"/>
    <col min="11" max="13" width="9.125" style="2"/>
    <col min="14" max="15" width="13.5" style="2" customWidth="1"/>
    <col min="16" max="16" width="12.5" style="2" customWidth="1"/>
    <col min="17" max="17" width="9.875" style="2" customWidth="1"/>
    <col min="18" max="18" width="10.125" style="2" customWidth="1"/>
    <col min="19" max="16384" width="9.125" style="2"/>
  </cols>
  <sheetData>
    <row r="1" spans="1:18" ht="30" customHeight="1">
      <c r="B1" s="1" t="s">
        <v>65</v>
      </c>
      <c r="C1" s="3" t="s">
        <v>0</v>
      </c>
      <c r="D1" s="3" t="s">
        <v>0</v>
      </c>
      <c r="E1" s="4">
        <f>Sheet1!E1</f>
        <v>46268</v>
      </c>
      <c r="F1" s="95" t="s">
        <v>1</v>
      </c>
      <c r="G1" s="95"/>
      <c r="H1" s="95"/>
      <c r="I1" s="95"/>
      <c r="J1" s="95"/>
    </row>
    <row r="2" spans="1:18" ht="20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8" ht="18" customHeight="1">
      <c r="A3" s="6">
        <v>1</v>
      </c>
      <c r="B3" s="7" t="str">
        <f>Sheet1!B3</f>
        <v>DDN-1281</v>
      </c>
      <c r="C3" s="8" t="str">
        <f>Sheet1!C3</f>
        <v>P1 TORIL,BABAK DISTRICT,SAMAL</v>
      </c>
      <c r="D3" s="9"/>
      <c r="E3" s="10" t="str">
        <f>Sheet1!E3</f>
        <v>GINAROSE CAGAS</v>
      </c>
      <c r="F3" s="11">
        <f>Sheet1!F3</f>
        <v>8909</v>
      </c>
      <c r="G3" s="12">
        <f>Sheet1!G3</f>
        <v>7200</v>
      </c>
      <c r="H3" s="13">
        <f t="shared" ref="H3:H22" si="0">F3*0.125</f>
        <v>1113.625</v>
      </c>
      <c r="I3" s="13">
        <f t="shared" ref="I3:I21" si="1">F3-G3-H3</f>
        <v>595.375</v>
      </c>
      <c r="J3" s="13">
        <f t="shared" ref="J3:J21" si="2">IF((AND(F3&gt;=100,F3&lt;5000)),$J$28,IF((AND(F3&gt;=5000,F3&lt;6000)),$J$29,IF((AND(F3&gt;=6000,F3&lt;7000)),$J$30,IF((AND(F3&gt;=7000,F3&lt;8000)),$J$31,IF((AND(F3&gt;=8000,F3&lt;9000)),$J$32,IF((AND(F3&gt;=9000,F3&lt;10000)),$J$33,IF((AND(F3&gt;=10000,F3&lt;11000)),$J$34,IF((AND(F3&gt;=11000,F3&lt;12000)),$J$35,IF((AND(F3&gt;=12000,F3&lt;13000)),$J$36,IF((AND(F3&gt;=13000,F3&lt;14000)),$J$37,IF((AND(F3&gt;=14000,F3&lt;15000)),$J$38,IF((AND(F3&gt;=15000,F3&lt;16000)),$J$39,IF((AND(F3&gt;=16000,F3&lt;17000)),$J$40,IF((AND(F3&gt;=17000,F3&lt;18000)),$J$41,IF((AND(F3&gt;=18000,F3&lt;19000)),$J$42,IF((AND(F3&gt;=19000,F3&lt;20000)),$J$43,IF((AND(F3&gt;=20000,F3&lt;21000)),$J$44,IF((AND(F3&gt;=21000,F3&lt;22000)),$J$45,IF((AND(F3&gt;=22000,F3&lt;23000)),$J$46,IF((AND(F3&gt;=23000,F3&lt;24000)),$J$47,IF((AND(F3&gt;=24000,F3&lt;25000)),$J$48,IF((AND(F3&gt;=25000,F3&lt;26000)),$J$49,IF((AND(F3&gt;=26000,F3&lt;27000)),$J$50,IF((AND(F3&gt;=27000,F3&lt;28000)),$J$51,IF((AND(F3&gt;=28000,F3&lt;29000)),$J$52,IF((AND(F3&gt;=29000,F3&lt;30000)),$J$53,IF((AND(F3&gt;=30000,F3&lt;31000)),$J$54,IF((AND(F3&gt;=31000,F3&lt;32000)),$J$55,IF((AND(F3&gt;=32000,F3&lt;33000)),$J$56,IF((AND(F3&gt;=33000,F3&lt;34000)),$J$57,IF((AND(F3&gt;=34000,F3&lt;35000)),$J$58,IF((AND(F3&gt;=35000,F3&lt;36000)),$J$59,IF((AND(F3&gt;=36000,F3&lt;37000)),$J$60,IF((AND(F3&gt;=37000,F3&lt;38000)),$J$61,IF((AND(F3&gt;=38000,F3&lt;39000)),$J$62,IF((AND(F3&gt;=39000,F3&lt;40000)),$J$63,IF((AND(F3&gt;=40000,F3&lt;41000)),$J$64,IF((AND(F3&gt;=41000,F3&lt;42000)),$J$65,IF((AND(F3&gt;=42000,F3&lt;43000)),$J$66,IF((AND(F3&gt;=43000,F3&lt;44000)),$J$67,IF((AND(F3&gt;=44000,F3&lt;45000)),$J$68,IF((AND(F3&gt;=45000,F3&lt;46000)),$J$69,IF((AND(F3&gt;=46000,F3&lt;47000)),$J$70,IF((AND(F3&gt;=47000,F3&lt;48000)),$J$71,IF((AND(F3&gt;=48000,F3&lt;49000)),$J$72,IF((AND(F3&gt;=49000,F3&lt;50000)),$J$73,IF((AND(F3&gt;=50000,F3&lt;51000)),$J$74,IF((AND(F3&gt;=51000,F3&lt;52000)),$J$75,IF((AND(F3&gt;=52000,F3&lt;53000)),$J$76,IF((AND(F3&gt;=53000,F3&lt;54000)),$J$77,IF((AND(F3&gt;=54000,F3&lt;55000)),$J$78,IF((AND(F3&gt;=55000,F3&lt;56000)),$J$79,IF((AND(F3&gt;=56000,F3&lt;57000)),$J$80,IF((AND(F3&gt;=57000,F3&lt;58000)),$J$81,IF((AND(F3&gt;=58000,F3&lt;59000)),$J$82,IF((AND(F3&gt;=59000,F3&lt;60000)),$J$83,IF((AND(F3&gt;=60000,F3&lt;61000)),$J$84,"0")))))))))))))))))))))))))))))))))))))))))))))))))))))))))</f>
        <v>330</v>
      </c>
      <c r="N3" s="14"/>
      <c r="O3" s="14"/>
      <c r="P3" s="14"/>
      <c r="Q3" s="14"/>
    </row>
    <row r="4" spans="1:18" ht="18.75" customHeight="1">
      <c r="A4" s="6">
        <v>2</v>
      </c>
      <c r="B4" s="7" t="str">
        <f>Sheet1!B4</f>
        <v>DDN-1284</v>
      </c>
      <c r="C4" s="8" t="str">
        <f>Sheet1!C4</f>
        <v>ZONE,7,VILLARICA,BABAK</v>
      </c>
      <c r="D4" s="9"/>
      <c r="E4" s="10" t="str">
        <f>Sheet1!E4</f>
        <v>ANGEL MAE ESTRADA</v>
      </c>
      <c r="F4" s="11">
        <f>Sheet1!F4</f>
        <v>3600</v>
      </c>
      <c r="G4" s="12">
        <f>Sheet1!G4</f>
        <v>0</v>
      </c>
      <c r="H4" s="13">
        <f t="shared" si="0"/>
        <v>450</v>
      </c>
      <c r="I4" s="13">
        <f t="shared" si="1"/>
        <v>3150</v>
      </c>
      <c r="J4" s="13">
        <f t="shared" si="2"/>
        <v>250</v>
      </c>
      <c r="N4" s="14"/>
      <c r="O4" s="14"/>
      <c r="P4" s="14"/>
      <c r="R4" s="14"/>
    </row>
    <row r="5" spans="1:18" ht="18" customHeight="1">
      <c r="A5" s="6">
        <v>3</v>
      </c>
      <c r="B5" s="7" t="str">
        <f>Sheet1!B5</f>
        <v>DDN-1285</v>
      </c>
      <c r="C5" s="8" t="str">
        <f>Sheet1!C5</f>
        <v>P4 BONGKALAS,COGON,SAMAL</v>
      </c>
      <c r="D5" s="9"/>
      <c r="E5" s="10" t="str">
        <f>Sheet1!E5</f>
        <v>REJEAN PREGLO</v>
      </c>
      <c r="F5" s="11">
        <f>Sheet1!F5</f>
        <v>1675</v>
      </c>
      <c r="G5" s="12">
        <f>Sheet1!G5</f>
        <v>0</v>
      </c>
      <c r="H5" s="13">
        <f t="shared" si="0"/>
        <v>209.375</v>
      </c>
      <c r="I5" s="13">
        <f t="shared" si="1"/>
        <v>1465.625</v>
      </c>
      <c r="J5" s="13">
        <f t="shared" si="2"/>
        <v>250</v>
      </c>
      <c r="N5" s="14"/>
      <c r="O5" s="14"/>
      <c r="P5" s="14"/>
      <c r="R5" s="14"/>
    </row>
    <row r="6" spans="1:18" s="81" customFormat="1" ht="18" customHeight="1">
      <c r="A6" s="80">
        <v>4</v>
      </c>
      <c r="B6" s="20" t="str">
        <f>Sheet1!B8</f>
        <v>DDN-1635</v>
      </c>
      <c r="C6" s="50" t="str">
        <f>Sheet1!C8</f>
        <v>PRK 6 TUGUAK,COGON,BABAK</v>
      </c>
      <c r="D6" s="21"/>
      <c r="E6" s="22" t="str">
        <f>Sheet1!E8</f>
        <v>MANILYN P. VILLASIN</v>
      </c>
      <c r="F6" s="34">
        <f>Sheet1!F8</f>
        <v>0</v>
      </c>
      <c r="G6" s="35">
        <f>Sheet1!G8</f>
        <v>0</v>
      </c>
      <c r="H6" s="36">
        <f t="shared" si="0"/>
        <v>0</v>
      </c>
      <c r="I6" s="36">
        <f t="shared" si="1"/>
        <v>0</v>
      </c>
      <c r="J6" s="36" t="str">
        <f t="shared" si="2"/>
        <v>0</v>
      </c>
      <c r="N6" s="82"/>
      <c r="O6" s="82"/>
      <c r="P6" s="82"/>
      <c r="R6" s="82"/>
    </row>
    <row r="7" spans="1:18" ht="18" customHeight="1">
      <c r="A7" s="6">
        <v>5</v>
      </c>
      <c r="B7" s="7" t="str">
        <f>Sheet1!B7</f>
        <v>DDN-1288</v>
      </c>
      <c r="C7" s="8" t="str">
        <f>Sheet1!C7</f>
        <v>PRK 1 BRGY LIBUAK,BABAK</v>
      </c>
      <c r="D7" s="15"/>
      <c r="E7" s="10" t="str">
        <f>Sheet1!E7</f>
        <v>Rene Daguit</v>
      </c>
      <c r="F7" s="11">
        <f>Sheet1!F7</f>
        <v>12007</v>
      </c>
      <c r="G7" s="12">
        <f>Sheet1!G7</f>
        <v>7200</v>
      </c>
      <c r="H7" s="13">
        <f t="shared" si="0"/>
        <v>1500.875</v>
      </c>
      <c r="I7" s="13">
        <f t="shared" si="1"/>
        <v>3306.125</v>
      </c>
      <c r="J7" s="13">
        <f t="shared" si="2"/>
        <v>370</v>
      </c>
      <c r="L7" s="16"/>
      <c r="N7" s="14"/>
      <c r="O7" s="14"/>
      <c r="P7" s="14"/>
      <c r="R7" s="14"/>
    </row>
    <row r="8" spans="1:18" ht="18" customHeight="1">
      <c r="A8" s="6">
        <v>6</v>
      </c>
      <c r="B8" s="7" t="str">
        <f>Sheet1!B9</f>
        <v>DDN-1293</v>
      </c>
      <c r="C8" s="8" t="str">
        <f>Sheet1!C9</f>
        <v>PRK 2 TAMBO,BABAK,SAMAL</v>
      </c>
      <c r="D8" s="9"/>
      <c r="E8" s="10" t="str">
        <f>Sheet1!E9</f>
        <v>NIÑA ESCALANTE</v>
      </c>
      <c r="F8" s="11">
        <f>Sheet1!F9</f>
        <v>4527</v>
      </c>
      <c r="G8" s="12">
        <f>Sheet1!G9</f>
        <v>2400</v>
      </c>
      <c r="H8" s="13">
        <f t="shared" si="0"/>
        <v>565.875</v>
      </c>
      <c r="I8" s="13">
        <f t="shared" si="1"/>
        <v>1561.125</v>
      </c>
      <c r="J8" s="13">
        <f t="shared" si="2"/>
        <v>250</v>
      </c>
      <c r="N8" s="14"/>
      <c r="O8" s="14"/>
      <c r="P8" s="14"/>
      <c r="R8" s="14"/>
    </row>
    <row r="9" spans="1:18" ht="15.75" customHeight="1">
      <c r="A9" s="6">
        <v>7</v>
      </c>
      <c r="B9" s="7" t="str">
        <f>Sheet1!B10</f>
        <v>DDN-1294</v>
      </c>
      <c r="C9" s="8" t="str">
        <f>Sheet1!C10</f>
        <v>CIDG,P-KAIMITO,MIRANDA,BABAK</v>
      </c>
      <c r="D9" s="9"/>
      <c r="E9" s="10" t="str">
        <f>Sheet1!E10</f>
        <v>JOVILYN B. OCOM</v>
      </c>
      <c r="F9" s="11">
        <f>Sheet1!F10</f>
        <v>3687</v>
      </c>
      <c r="G9" s="12">
        <f>Sheet1!G10</f>
        <v>0</v>
      </c>
      <c r="H9" s="13">
        <f t="shared" si="0"/>
        <v>460.875</v>
      </c>
      <c r="I9" s="13">
        <f t="shared" si="1"/>
        <v>3226.125</v>
      </c>
      <c r="J9" s="13">
        <f t="shared" si="2"/>
        <v>250</v>
      </c>
      <c r="L9" s="16"/>
      <c r="N9" s="14"/>
      <c r="O9" s="14"/>
      <c r="P9" s="14"/>
      <c r="R9" s="14"/>
    </row>
    <row r="10" spans="1:18" ht="18" customHeight="1">
      <c r="A10" s="6">
        <v>8</v>
      </c>
      <c r="B10" s="7" t="str">
        <f>Sheet1!B11</f>
        <v>DDN-1295</v>
      </c>
      <c r="C10" s="8" t="str">
        <f>Sheet1!C11</f>
        <v>P3 KAUSWAGAN,MIRANDA,BABAK</v>
      </c>
      <c r="D10" s="9"/>
      <c r="E10" s="10" t="str">
        <f>Sheet1!E11</f>
        <v>GENNIEL MONTERDE</v>
      </c>
      <c r="F10" s="11">
        <f>Sheet1!F11</f>
        <v>4775</v>
      </c>
      <c r="G10" s="12">
        <f>Sheet1!G11</f>
        <v>0</v>
      </c>
      <c r="H10" s="13">
        <f t="shared" si="0"/>
        <v>596.875</v>
      </c>
      <c r="I10" s="13">
        <f t="shared" si="1"/>
        <v>4178.125</v>
      </c>
      <c r="J10" s="13">
        <f t="shared" si="2"/>
        <v>250</v>
      </c>
      <c r="N10" s="14"/>
      <c r="O10" s="14"/>
      <c r="P10" s="14"/>
      <c r="R10" s="14"/>
    </row>
    <row r="11" spans="1:18" ht="18" customHeight="1">
      <c r="A11" s="6">
        <v>9</v>
      </c>
      <c r="B11" s="7" t="str">
        <f>Sheet1!B12</f>
        <v>DDN-1296</v>
      </c>
      <c r="C11" s="8" t="str">
        <f>Sheet1!C12</f>
        <v>PHASE 3 BUCARAN,TORIL,BABAK</v>
      </c>
      <c r="D11" s="9"/>
      <c r="E11" s="10" t="str">
        <f>Sheet1!E12</f>
        <v>JELOU SALVADOR</v>
      </c>
      <c r="F11" s="11">
        <f>Sheet1!F12</f>
        <v>2775</v>
      </c>
      <c r="G11" s="12">
        <f>Sheet1!G12</f>
        <v>0</v>
      </c>
      <c r="H11" s="13">
        <f t="shared" si="0"/>
        <v>346.875</v>
      </c>
      <c r="I11" s="13">
        <f t="shared" si="1"/>
        <v>2428.125</v>
      </c>
      <c r="J11" s="13">
        <f t="shared" si="2"/>
        <v>250</v>
      </c>
      <c r="N11" s="14"/>
      <c r="O11" s="14"/>
      <c r="P11" s="14"/>
      <c r="R11" s="14"/>
    </row>
    <row r="12" spans="1:18" ht="18" customHeight="1">
      <c r="A12" s="6">
        <v>10</v>
      </c>
      <c r="B12" s="7" t="str">
        <f>Sheet1!B14</f>
        <v>DDN-1299</v>
      </c>
      <c r="C12" s="8" t="str">
        <f>Sheet1!C14</f>
        <v>TALIPAPA,MIRANDA BABAK</v>
      </c>
      <c r="D12" s="9"/>
      <c r="E12" s="10" t="str">
        <f>Sheet1!E14</f>
        <v>AIZA CRODUA SAN JUAN</v>
      </c>
      <c r="F12" s="11">
        <f>Sheet1!F14</f>
        <v>6067</v>
      </c>
      <c r="G12" s="12">
        <f>Sheet1!G14</f>
        <v>1600</v>
      </c>
      <c r="H12" s="13">
        <f t="shared" si="0"/>
        <v>758.375</v>
      </c>
      <c r="I12" s="13">
        <f t="shared" si="1"/>
        <v>3708.625</v>
      </c>
      <c r="J12" s="13">
        <f t="shared" si="2"/>
        <v>310</v>
      </c>
      <c r="N12" s="14"/>
      <c r="O12" s="14"/>
      <c r="P12" s="14"/>
      <c r="R12" s="14"/>
    </row>
    <row r="13" spans="1:18" ht="18" customHeight="1">
      <c r="A13" s="6">
        <v>11</v>
      </c>
      <c r="B13" s="7" t="str">
        <f>Sheet1!B15</f>
        <v>DDN-1300</v>
      </c>
      <c r="C13" s="8" t="str">
        <f>Sheet1!C15</f>
        <v>PRK 9 SAN ISIDRO</v>
      </c>
      <c r="D13" s="15"/>
      <c r="E13" s="18" t="str">
        <f>Sheet1!E15</f>
        <v>Normenin K. Hussain</v>
      </c>
      <c r="F13" s="11">
        <f>Sheet1!F15</f>
        <v>2462</v>
      </c>
      <c r="G13" s="12">
        <f>Sheet1!G15</f>
        <v>800</v>
      </c>
      <c r="H13" s="13">
        <f t="shared" si="0"/>
        <v>307.75</v>
      </c>
      <c r="I13" s="13">
        <f t="shared" si="1"/>
        <v>1354.25</v>
      </c>
      <c r="J13" s="13">
        <f t="shared" si="2"/>
        <v>250</v>
      </c>
      <c r="N13" s="14"/>
      <c r="O13" s="14"/>
      <c r="P13" s="14"/>
      <c r="R13" s="14"/>
    </row>
    <row r="14" spans="1:18" ht="18" customHeight="1">
      <c r="A14" s="6">
        <v>12</v>
      </c>
      <c r="B14" s="7" t="str">
        <f>Sheet1!B13</f>
        <v>DDN-1629</v>
      </c>
      <c r="C14" s="8" t="str">
        <f>Sheet1!C13</f>
        <v>PRK 6 KINAWITNON,BABAK</v>
      </c>
      <c r="D14" s="9"/>
      <c r="E14" s="10" t="str">
        <f>Sheet1!E13</f>
        <v>Diomelyn Pansit Abad</v>
      </c>
      <c r="F14" s="11">
        <f>Sheet1!F13</f>
        <v>2954</v>
      </c>
      <c r="G14" s="12">
        <f>Sheet1!G13</f>
        <v>400</v>
      </c>
      <c r="H14" s="13">
        <f t="shared" si="0"/>
        <v>369.25</v>
      </c>
      <c r="I14" s="13">
        <f t="shared" si="1"/>
        <v>2184.75</v>
      </c>
      <c r="J14" s="13">
        <f t="shared" si="2"/>
        <v>250</v>
      </c>
      <c r="N14" s="14"/>
      <c r="O14" s="14"/>
      <c r="P14" s="14"/>
      <c r="R14" s="14"/>
    </row>
    <row r="15" spans="1:18" ht="18" customHeight="1">
      <c r="A15" s="6">
        <v>13</v>
      </c>
      <c r="B15" s="7" t="str">
        <f>Sheet1!B17</f>
        <v>DDN-1303</v>
      </c>
      <c r="C15" s="8" t="str">
        <f>Sheet1!C17</f>
        <v>MAMBAGO A1,PENAPLATA,IGACOS</v>
      </c>
      <c r="D15" s="15"/>
      <c r="E15" s="10" t="str">
        <f>Sheet1!E17</f>
        <v>Salvacion E Gofredo</v>
      </c>
      <c r="F15" s="11">
        <f>Sheet1!F17</f>
        <v>3230</v>
      </c>
      <c r="G15" s="12">
        <f>Sheet1!G17</f>
        <v>0</v>
      </c>
      <c r="H15" s="13">
        <f t="shared" si="0"/>
        <v>403.75</v>
      </c>
      <c r="I15" s="13">
        <f t="shared" si="1"/>
        <v>2826.25</v>
      </c>
      <c r="J15" s="13">
        <f t="shared" si="2"/>
        <v>250</v>
      </c>
      <c r="N15" s="14"/>
      <c r="O15" s="14"/>
      <c r="P15" s="14"/>
      <c r="R15" s="14"/>
    </row>
    <row r="16" spans="1:18" ht="19.5" customHeight="1">
      <c r="A16" s="6">
        <v>14</v>
      </c>
      <c r="B16" s="7" t="str">
        <f>Sheet1!B18</f>
        <v>DDN-1305</v>
      </c>
      <c r="C16" s="8" t="str">
        <f>Sheet1!C18</f>
        <v>MAMBAGO A2,PENAPLATA,IGACOS</v>
      </c>
      <c r="D16" s="15"/>
      <c r="E16" s="10" t="str">
        <f>Sheet1!E18</f>
        <v>Janine Alcober Dinampo</v>
      </c>
      <c r="F16" s="11">
        <f>Sheet1!F18</f>
        <v>7317</v>
      </c>
      <c r="G16" s="12">
        <f>Sheet1!G18</f>
        <v>800</v>
      </c>
      <c r="H16" s="13">
        <f t="shared" si="0"/>
        <v>914.625</v>
      </c>
      <c r="I16" s="13">
        <f t="shared" si="1"/>
        <v>5602.375</v>
      </c>
      <c r="J16" s="13">
        <f t="shared" si="2"/>
        <v>320</v>
      </c>
      <c r="N16" s="14"/>
      <c r="O16" s="14"/>
      <c r="P16" s="14"/>
      <c r="R16" s="14"/>
    </row>
    <row r="17" spans="1:18" ht="18" customHeight="1">
      <c r="A17" s="6">
        <v>15</v>
      </c>
      <c r="B17" s="7" t="str">
        <f>Sheet1!B19</f>
        <v>DDN-1306</v>
      </c>
      <c r="C17" s="8" t="str">
        <f>Sheet1!C19</f>
        <v>PRK 1 STO.NINO,PENAPLATA</v>
      </c>
      <c r="D17" s="15"/>
      <c r="E17" s="10" t="str">
        <f>Sheet1!E19</f>
        <v>JEMARIE LOPEZ ADENO</v>
      </c>
      <c r="F17" s="11">
        <f>Sheet1!F19</f>
        <v>2795</v>
      </c>
      <c r="G17" s="12">
        <f>Sheet1!G19</f>
        <v>0</v>
      </c>
      <c r="H17" s="13">
        <f t="shared" si="0"/>
        <v>349.375</v>
      </c>
      <c r="I17" s="13">
        <f t="shared" si="1"/>
        <v>2445.625</v>
      </c>
      <c r="J17" s="13">
        <f t="shared" si="2"/>
        <v>250</v>
      </c>
      <c r="N17" s="14"/>
      <c r="O17" s="14"/>
      <c r="P17" s="14"/>
      <c r="R17" s="14"/>
    </row>
    <row r="18" spans="1:18" ht="18" customHeight="1">
      <c r="A18" s="6">
        <v>16</v>
      </c>
      <c r="B18" s="7" t="str">
        <f>Sheet1!B20</f>
        <v>DDN-1308</v>
      </c>
      <c r="C18" s="8" t="str">
        <f>Sheet1!C20</f>
        <v>PRK 6 COGON,BABAK</v>
      </c>
      <c r="D18" s="15"/>
      <c r="E18" s="10" t="str">
        <f>Sheet1!E20</f>
        <v>BELEN ALFONSO</v>
      </c>
      <c r="F18" s="11">
        <f>Sheet1!F20</f>
        <v>5355</v>
      </c>
      <c r="G18" s="12">
        <f>Sheet1!G20</f>
        <v>0</v>
      </c>
      <c r="H18" s="13">
        <f t="shared" si="0"/>
        <v>669.375</v>
      </c>
      <c r="I18" s="13">
        <f t="shared" si="1"/>
        <v>4685.625</v>
      </c>
      <c r="J18" s="13">
        <f t="shared" si="2"/>
        <v>300</v>
      </c>
      <c r="N18" s="14"/>
      <c r="O18" s="14"/>
      <c r="P18" s="14"/>
      <c r="R18" s="14"/>
    </row>
    <row r="19" spans="1:18" ht="18" customHeight="1">
      <c r="A19" s="6">
        <v>17</v>
      </c>
      <c r="B19" s="7" t="str">
        <f>Sheet1!B21</f>
        <v>DDN-1588</v>
      </c>
      <c r="C19" s="8" t="str">
        <f>Sheet1!C21</f>
        <v>PRK 2 STO.NINO,PENAPLATA</v>
      </c>
      <c r="D19" s="15"/>
      <c r="E19" s="10" t="str">
        <f>Sheet1!E21</f>
        <v>MARYJEAN BOGHANOY</v>
      </c>
      <c r="F19" s="11">
        <f>Sheet1!F21</f>
        <v>2560</v>
      </c>
      <c r="G19" s="12">
        <f>Sheet1!G21</f>
        <v>800</v>
      </c>
      <c r="H19" s="13">
        <f t="shared" si="0"/>
        <v>320</v>
      </c>
      <c r="I19" s="13">
        <f t="shared" si="1"/>
        <v>1440</v>
      </c>
      <c r="J19" s="13">
        <f t="shared" si="2"/>
        <v>250</v>
      </c>
      <c r="N19" s="14"/>
      <c r="O19" s="14"/>
      <c r="P19" s="14"/>
      <c r="R19" s="14"/>
    </row>
    <row r="20" spans="1:18" s="81" customFormat="1" ht="18" customHeight="1">
      <c r="A20" s="80">
        <v>18</v>
      </c>
      <c r="B20" s="20" t="str">
        <f>Sheet1!B22</f>
        <v>DDN-1589</v>
      </c>
      <c r="C20" s="50" t="str">
        <f>Sheet1!C22</f>
        <v>KINAWITNON,BABAK DISTRICT (TEMPORARY DEACTIVATED)</v>
      </c>
      <c r="D20" s="21"/>
      <c r="E20" s="22">
        <f>Sheet1!E22</f>
        <v>0</v>
      </c>
      <c r="F20" s="34">
        <f>Sheet1!F22</f>
        <v>0</v>
      </c>
      <c r="G20" s="35">
        <f>Sheet1!G22</f>
        <v>0</v>
      </c>
      <c r="H20" s="36">
        <f t="shared" si="0"/>
        <v>0</v>
      </c>
      <c r="I20" s="36">
        <f t="shared" si="1"/>
        <v>0</v>
      </c>
      <c r="J20" s="36" t="str">
        <f t="shared" si="2"/>
        <v>0</v>
      </c>
      <c r="N20" s="82"/>
      <c r="O20" s="82"/>
      <c r="P20" s="82"/>
      <c r="R20" s="82"/>
    </row>
    <row r="21" spans="1:18" ht="18" customHeight="1">
      <c r="A21" s="6">
        <v>19</v>
      </c>
      <c r="B21" s="20" t="s">
        <v>48</v>
      </c>
      <c r="C21" s="50" t="s">
        <v>49</v>
      </c>
      <c r="D21" s="51"/>
      <c r="E21" s="22"/>
      <c r="F21" s="34">
        <f>Sheet1!F32</f>
        <v>0</v>
      </c>
      <c r="G21" s="35">
        <f>Sheet1!F32</f>
        <v>0</v>
      </c>
      <c r="H21" s="36">
        <f t="shared" si="0"/>
        <v>0</v>
      </c>
      <c r="I21" s="36">
        <f t="shared" si="1"/>
        <v>0</v>
      </c>
      <c r="J21" s="36" t="str">
        <f t="shared" si="2"/>
        <v>0</v>
      </c>
      <c r="N21" s="14"/>
      <c r="O21" s="14"/>
      <c r="P21" s="14"/>
      <c r="R21" s="14"/>
    </row>
    <row r="22" spans="1:18" ht="18" customHeight="1">
      <c r="A22" s="6"/>
      <c r="B22" s="6" t="s">
        <v>65</v>
      </c>
      <c r="C22" s="8" t="s">
        <v>65</v>
      </c>
      <c r="D22" s="37" t="s">
        <v>66</v>
      </c>
      <c r="E22" s="10" t="s">
        <v>67</v>
      </c>
      <c r="F22" s="11">
        <f>Sheet1!F41</f>
        <v>0</v>
      </c>
      <c r="G22" s="12">
        <f>Sheet1!G41</f>
        <v>0</v>
      </c>
      <c r="H22" s="13">
        <f t="shared" si="0"/>
        <v>0</v>
      </c>
      <c r="I22" s="13"/>
      <c r="J22" s="13">
        <v>500</v>
      </c>
      <c r="N22" s="14"/>
      <c r="O22" s="14"/>
      <c r="P22" s="14"/>
      <c r="R22" s="14"/>
    </row>
    <row r="23" spans="1:18" ht="20.25" customHeight="1">
      <c r="A23" s="6"/>
      <c r="B23" s="6"/>
      <c r="C23" s="37" t="s">
        <v>69</v>
      </c>
      <c r="D23" s="37" t="s">
        <v>69</v>
      </c>
      <c r="E23" s="15"/>
      <c r="F23" s="38">
        <f>SUM(F3:F22)</f>
        <v>74695</v>
      </c>
      <c r="G23" s="38">
        <f>SUM(G3:G22)</f>
        <v>21200</v>
      </c>
      <c r="H23" s="38">
        <f>SUM(H3:H22)</f>
        <v>9336.875</v>
      </c>
      <c r="I23" s="38">
        <f>SUM(I3:I22)</f>
        <v>44158.125</v>
      </c>
      <c r="J23" s="38">
        <f>SUM(J3:J22)</f>
        <v>4880</v>
      </c>
      <c r="N23" s="14"/>
      <c r="O23" s="14"/>
      <c r="P23" s="14"/>
      <c r="R23" s="14"/>
    </row>
    <row r="24" spans="1:18" ht="21" customHeight="1">
      <c r="A24" s="6"/>
      <c r="B24" s="6"/>
      <c r="C24" s="8"/>
      <c r="D24" s="15"/>
      <c r="E24" s="15"/>
      <c r="F24" s="15"/>
      <c r="G24" s="15"/>
      <c r="H24" s="39" t="s">
        <v>9</v>
      </c>
      <c r="I24" s="40">
        <f>H23</f>
        <v>9336.875</v>
      </c>
      <c r="J24" s="15"/>
      <c r="N24" s="14"/>
      <c r="O24" s="14"/>
      <c r="P24" s="14"/>
      <c r="R24" s="14"/>
    </row>
    <row r="25" spans="1:18" ht="19.5" customHeight="1">
      <c r="A25" s="6"/>
      <c r="B25" s="6"/>
      <c r="C25" s="6"/>
      <c r="D25" s="15"/>
      <c r="E25" s="15"/>
      <c r="F25" s="15"/>
      <c r="G25" s="15"/>
      <c r="H25" s="41" t="s">
        <v>70</v>
      </c>
      <c r="I25" s="38">
        <f>SUM(I23:I24)</f>
        <v>53495</v>
      </c>
      <c r="J25" s="15"/>
      <c r="N25" s="14"/>
      <c r="O25" s="14"/>
      <c r="P25" s="14"/>
      <c r="R25" s="14"/>
    </row>
    <row r="26" spans="1:18" ht="14.25" customHeight="1">
      <c r="D26" s="42"/>
      <c r="N26" s="14"/>
      <c r="O26" s="14"/>
      <c r="P26" s="14"/>
      <c r="R26" s="14"/>
    </row>
    <row r="27" spans="1:18" ht="1.5" customHeight="1">
      <c r="N27" s="14"/>
      <c r="O27" s="14"/>
      <c r="P27" s="14"/>
      <c r="R27" s="14"/>
    </row>
    <row r="28" spans="1:18" ht="18" hidden="1" customHeight="1">
      <c r="J28" s="14">
        <v>250</v>
      </c>
      <c r="N28" s="14"/>
      <c r="O28" s="14"/>
      <c r="P28" s="14"/>
      <c r="R28" s="14"/>
    </row>
    <row r="29" spans="1:18" ht="18" hidden="1" customHeight="1">
      <c r="H29" s="2">
        <v>5000</v>
      </c>
      <c r="I29" s="2">
        <v>6000</v>
      </c>
      <c r="J29" s="14">
        <v>300</v>
      </c>
      <c r="N29" s="14"/>
      <c r="O29" s="14"/>
      <c r="P29" s="14"/>
      <c r="R29" s="14"/>
    </row>
    <row r="30" spans="1:18" ht="18" hidden="1" customHeight="1">
      <c r="H30" s="2">
        <f t="shared" ref="H30:H61" si="3">H29+1000</f>
        <v>6000</v>
      </c>
      <c r="I30" s="2">
        <f t="shared" ref="I30:I61" si="4">I29+1000</f>
        <v>7000</v>
      </c>
      <c r="J30" s="14">
        <f t="shared" ref="J30:J61" si="5">J29+10</f>
        <v>310</v>
      </c>
      <c r="N30" s="14"/>
      <c r="O30" s="14"/>
      <c r="P30" s="14"/>
      <c r="R30" s="14"/>
    </row>
    <row r="31" spans="1:18" ht="18" hidden="1" customHeight="1">
      <c r="H31" s="2">
        <f t="shared" si="3"/>
        <v>7000</v>
      </c>
      <c r="I31" s="2">
        <f t="shared" si="4"/>
        <v>8000</v>
      </c>
      <c r="J31" s="14">
        <f t="shared" si="5"/>
        <v>320</v>
      </c>
      <c r="N31" s="14"/>
      <c r="O31" s="14"/>
      <c r="P31" s="14"/>
      <c r="R31" s="14"/>
    </row>
    <row r="32" spans="1:18" ht="18" hidden="1" customHeight="1">
      <c r="H32" s="2">
        <f t="shared" si="3"/>
        <v>8000</v>
      </c>
      <c r="I32" s="2">
        <f t="shared" si="4"/>
        <v>9000</v>
      </c>
      <c r="J32" s="14">
        <f t="shared" si="5"/>
        <v>330</v>
      </c>
      <c r="P32" s="14"/>
    </row>
    <row r="33" spans="8:16" ht="18" hidden="1" customHeight="1">
      <c r="H33" s="2">
        <f t="shared" si="3"/>
        <v>9000</v>
      </c>
      <c r="I33" s="2">
        <f t="shared" si="4"/>
        <v>10000</v>
      </c>
      <c r="J33" s="14">
        <f t="shared" si="5"/>
        <v>340</v>
      </c>
      <c r="P33" s="14"/>
    </row>
    <row r="34" spans="8:16" ht="18" hidden="1" customHeight="1">
      <c r="H34" s="2">
        <f t="shared" si="3"/>
        <v>10000</v>
      </c>
      <c r="I34" s="2">
        <f t="shared" si="4"/>
        <v>11000</v>
      </c>
      <c r="J34" s="14">
        <f t="shared" si="5"/>
        <v>350</v>
      </c>
    </row>
    <row r="35" spans="8:16" ht="18" hidden="1" customHeight="1">
      <c r="H35" s="2">
        <f t="shared" si="3"/>
        <v>11000</v>
      </c>
      <c r="I35" s="2">
        <f t="shared" si="4"/>
        <v>12000</v>
      </c>
      <c r="J35" s="14">
        <f t="shared" si="5"/>
        <v>360</v>
      </c>
    </row>
    <row r="36" spans="8:16" ht="18" hidden="1" customHeight="1">
      <c r="H36" s="2">
        <f t="shared" si="3"/>
        <v>12000</v>
      </c>
      <c r="I36" s="2">
        <f t="shared" si="4"/>
        <v>13000</v>
      </c>
      <c r="J36" s="14">
        <f t="shared" si="5"/>
        <v>370</v>
      </c>
    </row>
    <row r="37" spans="8:16" ht="18" hidden="1" customHeight="1">
      <c r="H37" s="2">
        <f t="shared" si="3"/>
        <v>13000</v>
      </c>
      <c r="I37" s="2">
        <f t="shared" si="4"/>
        <v>14000</v>
      </c>
      <c r="J37" s="14">
        <f t="shared" si="5"/>
        <v>380</v>
      </c>
    </row>
    <row r="38" spans="8:16" ht="18" hidden="1" customHeight="1">
      <c r="H38" s="2">
        <f t="shared" si="3"/>
        <v>14000</v>
      </c>
      <c r="I38" s="2">
        <f t="shared" si="4"/>
        <v>15000</v>
      </c>
      <c r="J38" s="14">
        <f t="shared" si="5"/>
        <v>390</v>
      </c>
    </row>
    <row r="39" spans="8:16" ht="18" hidden="1" customHeight="1">
      <c r="H39" s="2">
        <f t="shared" si="3"/>
        <v>15000</v>
      </c>
      <c r="I39" s="2">
        <f t="shared" si="4"/>
        <v>16000</v>
      </c>
      <c r="J39" s="14">
        <f t="shared" si="5"/>
        <v>400</v>
      </c>
    </row>
    <row r="40" spans="8:16" ht="18" hidden="1" customHeight="1">
      <c r="H40" s="2">
        <f t="shared" si="3"/>
        <v>16000</v>
      </c>
      <c r="I40" s="2">
        <f t="shared" si="4"/>
        <v>17000</v>
      </c>
      <c r="J40" s="14">
        <f t="shared" si="5"/>
        <v>410</v>
      </c>
    </row>
    <row r="41" spans="8:16" ht="18" hidden="1" customHeight="1">
      <c r="H41" s="2">
        <f t="shared" si="3"/>
        <v>17000</v>
      </c>
      <c r="I41" s="2">
        <f t="shared" si="4"/>
        <v>18000</v>
      </c>
      <c r="J41" s="14">
        <f t="shared" si="5"/>
        <v>420</v>
      </c>
    </row>
    <row r="42" spans="8:16" ht="18" hidden="1" customHeight="1">
      <c r="H42" s="2">
        <f t="shared" si="3"/>
        <v>18000</v>
      </c>
      <c r="I42" s="2">
        <f t="shared" si="4"/>
        <v>19000</v>
      </c>
      <c r="J42" s="14">
        <f t="shared" si="5"/>
        <v>430</v>
      </c>
    </row>
    <row r="43" spans="8:16" ht="18" hidden="1" customHeight="1">
      <c r="H43" s="2">
        <f t="shared" si="3"/>
        <v>19000</v>
      </c>
      <c r="I43" s="2">
        <f t="shared" si="4"/>
        <v>20000</v>
      </c>
      <c r="J43" s="14">
        <f t="shared" si="5"/>
        <v>440</v>
      </c>
    </row>
    <row r="44" spans="8:16" ht="18" hidden="1" customHeight="1">
      <c r="H44" s="2">
        <f t="shared" si="3"/>
        <v>20000</v>
      </c>
      <c r="I44" s="2">
        <f t="shared" si="4"/>
        <v>21000</v>
      </c>
      <c r="J44" s="14">
        <f t="shared" si="5"/>
        <v>450</v>
      </c>
    </row>
    <row r="45" spans="8:16" ht="14.25" hidden="1" customHeight="1">
      <c r="H45" s="2">
        <f t="shared" si="3"/>
        <v>21000</v>
      </c>
      <c r="I45" s="2">
        <f t="shared" si="4"/>
        <v>22000</v>
      </c>
      <c r="J45" s="14">
        <f t="shared" si="5"/>
        <v>460</v>
      </c>
    </row>
    <row r="46" spans="8:16" ht="14.25" hidden="1" customHeight="1">
      <c r="H46" s="2">
        <f t="shared" si="3"/>
        <v>22000</v>
      </c>
      <c r="I46" s="2">
        <f t="shared" si="4"/>
        <v>23000</v>
      </c>
      <c r="J46" s="14">
        <f t="shared" si="5"/>
        <v>470</v>
      </c>
    </row>
    <row r="47" spans="8:16" ht="14.25" hidden="1" customHeight="1">
      <c r="H47" s="2">
        <f t="shared" si="3"/>
        <v>23000</v>
      </c>
      <c r="I47" s="2">
        <f t="shared" si="4"/>
        <v>24000</v>
      </c>
      <c r="J47" s="14">
        <f t="shared" si="5"/>
        <v>480</v>
      </c>
    </row>
    <row r="48" spans="8:16" ht="14.25" hidden="1" customHeight="1">
      <c r="H48" s="2">
        <f t="shared" si="3"/>
        <v>24000</v>
      </c>
      <c r="I48" s="2">
        <f t="shared" si="4"/>
        <v>25000</v>
      </c>
      <c r="J48" s="14">
        <f t="shared" si="5"/>
        <v>490</v>
      </c>
    </row>
    <row r="49" spans="8:10" ht="14.25" hidden="1" customHeight="1">
      <c r="H49" s="2">
        <f t="shared" si="3"/>
        <v>25000</v>
      </c>
      <c r="I49" s="2">
        <f t="shared" si="4"/>
        <v>26000</v>
      </c>
      <c r="J49" s="14">
        <f t="shared" si="5"/>
        <v>500</v>
      </c>
    </row>
    <row r="50" spans="8:10" ht="14.25" hidden="1" customHeight="1">
      <c r="H50" s="2">
        <f t="shared" si="3"/>
        <v>26000</v>
      </c>
      <c r="I50" s="2">
        <f t="shared" si="4"/>
        <v>27000</v>
      </c>
      <c r="J50" s="14">
        <f t="shared" si="5"/>
        <v>510</v>
      </c>
    </row>
    <row r="51" spans="8:10" ht="14.25" hidden="1" customHeight="1">
      <c r="H51" s="2">
        <f t="shared" si="3"/>
        <v>27000</v>
      </c>
      <c r="I51" s="2">
        <f t="shared" si="4"/>
        <v>28000</v>
      </c>
      <c r="J51" s="14">
        <f t="shared" si="5"/>
        <v>520</v>
      </c>
    </row>
    <row r="52" spans="8:10" ht="14.25" hidden="1" customHeight="1">
      <c r="H52" s="2">
        <f t="shared" si="3"/>
        <v>28000</v>
      </c>
      <c r="I52" s="2">
        <f t="shared" si="4"/>
        <v>29000</v>
      </c>
      <c r="J52" s="14">
        <f t="shared" si="5"/>
        <v>530</v>
      </c>
    </row>
    <row r="53" spans="8:10" ht="14.25" hidden="1" customHeight="1">
      <c r="H53" s="2">
        <f t="shared" si="3"/>
        <v>29000</v>
      </c>
      <c r="I53" s="2">
        <f t="shared" si="4"/>
        <v>30000</v>
      </c>
      <c r="J53" s="14">
        <f t="shared" si="5"/>
        <v>540</v>
      </c>
    </row>
    <row r="54" spans="8:10" ht="14.25" hidden="1" customHeight="1">
      <c r="H54" s="2">
        <f t="shared" si="3"/>
        <v>30000</v>
      </c>
      <c r="I54" s="2">
        <f t="shared" si="4"/>
        <v>31000</v>
      </c>
      <c r="J54" s="14">
        <f t="shared" si="5"/>
        <v>550</v>
      </c>
    </row>
    <row r="55" spans="8:10" ht="14.25" hidden="1" customHeight="1">
      <c r="H55" s="2">
        <f t="shared" si="3"/>
        <v>31000</v>
      </c>
      <c r="I55" s="2">
        <f t="shared" si="4"/>
        <v>32000</v>
      </c>
      <c r="J55" s="14">
        <f t="shared" si="5"/>
        <v>560</v>
      </c>
    </row>
    <row r="56" spans="8:10" ht="14.25" hidden="1" customHeight="1">
      <c r="H56" s="2">
        <f t="shared" si="3"/>
        <v>32000</v>
      </c>
      <c r="I56" s="2">
        <f t="shared" si="4"/>
        <v>33000</v>
      </c>
      <c r="J56" s="14">
        <f t="shared" si="5"/>
        <v>570</v>
      </c>
    </row>
    <row r="57" spans="8:10" ht="14.25" hidden="1" customHeight="1">
      <c r="H57" s="2">
        <f t="shared" si="3"/>
        <v>33000</v>
      </c>
      <c r="I57" s="2">
        <f t="shared" si="4"/>
        <v>34000</v>
      </c>
      <c r="J57" s="14">
        <f t="shared" si="5"/>
        <v>580</v>
      </c>
    </row>
    <row r="58" spans="8:10" ht="14.25" hidden="1" customHeight="1">
      <c r="H58" s="2">
        <f t="shared" si="3"/>
        <v>34000</v>
      </c>
      <c r="I58" s="2">
        <f t="shared" si="4"/>
        <v>35000</v>
      </c>
      <c r="J58" s="14">
        <f t="shared" si="5"/>
        <v>590</v>
      </c>
    </row>
    <row r="59" spans="8:10" ht="14.25" hidden="1" customHeight="1">
      <c r="H59" s="2">
        <f t="shared" si="3"/>
        <v>35000</v>
      </c>
      <c r="I59" s="2">
        <f t="shared" si="4"/>
        <v>36000</v>
      </c>
      <c r="J59" s="14">
        <f t="shared" si="5"/>
        <v>600</v>
      </c>
    </row>
    <row r="60" spans="8:10" ht="14.25" hidden="1" customHeight="1">
      <c r="H60" s="2">
        <f t="shared" si="3"/>
        <v>36000</v>
      </c>
      <c r="I60" s="2">
        <f t="shared" si="4"/>
        <v>37000</v>
      </c>
      <c r="J60" s="14">
        <f t="shared" si="5"/>
        <v>610</v>
      </c>
    </row>
    <row r="61" spans="8:10" ht="14.25" hidden="1" customHeight="1">
      <c r="H61" s="2">
        <f t="shared" si="3"/>
        <v>37000</v>
      </c>
      <c r="I61" s="2">
        <f t="shared" si="4"/>
        <v>38000</v>
      </c>
      <c r="J61" s="14">
        <f t="shared" si="5"/>
        <v>620</v>
      </c>
    </row>
    <row r="62" spans="8:10" ht="14.25" hidden="1" customHeight="1">
      <c r="H62" s="2">
        <f t="shared" ref="H62:H80" si="6">H61+1000</f>
        <v>38000</v>
      </c>
      <c r="I62" s="2">
        <f t="shared" ref="I62:I80" si="7">I61+1000</f>
        <v>39000</v>
      </c>
      <c r="J62" s="14">
        <f t="shared" ref="J62:J80" si="8">J61+10</f>
        <v>630</v>
      </c>
    </row>
    <row r="63" spans="8:10" ht="14.25" hidden="1" customHeight="1">
      <c r="H63" s="2">
        <f t="shared" si="6"/>
        <v>39000</v>
      </c>
      <c r="I63" s="2">
        <f t="shared" si="7"/>
        <v>40000</v>
      </c>
      <c r="J63" s="14">
        <f t="shared" si="8"/>
        <v>640</v>
      </c>
    </row>
    <row r="64" spans="8:10" ht="14.25" hidden="1" customHeight="1">
      <c r="H64" s="2">
        <f t="shared" si="6"/>
        <v>40000</v>
      </c>
      <c r="I64" s="2">
        <f t="shared" si="7"/>
        <v>41000</v>
      </c>
      <c r="J64" s="14">
        <f t="shared" si="8"/>
        <v>650</v>
      </c>
    </row>
    <row r="65" spans="8:10" ht="14.25" hidden="1" customHeight="1">
      <c r="H65" s="2">
        <f t="shared" si="6"/>
        <v>41000</v>
      </c>
      <c r="I65" s="2">
        <f t="shared" si="7"/>
        <v>42000</v>
      </c>
      <c r="J65" s="14">
        <f t="shared" si="8"/>
        <v>660</v>
      </c>
    </row>
    <row r="66" spans="8:10" ht="14.25" hidden="1" customHeight="1">
      <c r="H66" s="2">
        <f t="shared" si="6"/>
        <v>42000</v>
      </c>
      <c r="I66" s="2">
        <f t="shared" si="7"/>
        <v>43000</v>
      </c>
      <c r="J66" s="14">
        <f t="shared" si="8"/>
        <v>670</v>
      </c>
    </row>
    <row r="67" spans="8:10" ht="14.25" hidden="1" customHeight="1">
      <c r="H67" s="2">
        <f t="shared" si="6"/>
        <v>43000</v>
      </c>
      <c r="I67" s="2">
        <f t="shared" si="7"/>
        <v>44000</v>
      </c>
      <c r="J67" s="14">
        <f t="shared" si="8"/>
        <v>680</v>
      </c>
    </row>
    <row r="68" spans="8:10" ht="14.25" hidden="1" customHeight="1">
      <c r="H68" s="2">
        <f t="shared" si="6"/>
        <v>44000</v>
      </c>
      <c r="I68" s="2">
        <f t="shared" si="7"/>
        <v>45000</v>
      </c>
      <c r="J68" s="14">
        <f t="shared" si="8"/>
        <v>690</v>
      </c>
    </row>
    <row r="69" spans="8:10" ht="14.25" hidden="1" customHeight="1">
      <c r="H69" s="2">
        <f t="shared" si="6"/>
        <v>45000</v>
      </c>
      <c r="I69" s="2">
        <f t="shared" si="7"/>
        <v>46000</v>
      </c>
      <c r="J69" s="14">
        <f t="shared" si="8"/>
        <v>700</v>
      </c>
    </row>
    <row r="70" spans="8:10" ht="14.25" hidden="1" customHeight="1">
      <c r="H70" s="2">
        <f t="shared" si="6"/>
        <v>46000</v>
      </c>
      <c r="I70" s="2">
        <f t="shared" si="7"/>
        <v>47000</v>
      </c>
      <c r="J70" s="14">
        <f t="shared" si="8"/>
        <v>710</v>
      </c>
    </row>
    <row r="71" spans="8:10" ht="14.25" hidden="1" customHeight="1">
      <c r="H71" s="2">
        <f t="shared" si="6"/>
        <v>47000</v>
      </c>
      <c r="I71" s="2">
        <f t="shared" si="7"/>
        <v>48000</v>
      </c>
      <c r="J71" s="14">
        <f t="shared" si="8"/>
        <v>720</v>
      </c>
    </row>
    <row r="72" spans="8:10" ht="14.25" hidden="1" customHeight="1">
      <c r="H72" s="2">
        <f t="shared" si="6"/>
        <v>48000</v>
      </c>
      <c r="I72" s="2">
        <f t="shared" si="7"/>
        <v>49000</v>
      </c>
      <c r="J72" s="14">
        <f t="shared" si="8"/>
        <v>730</v>
      </c>
    </row>
    <row r="73" spans="8:10" ht="14.25" hidden="1" customHeight="1">
      <c r="H73" s="2">
        <f t="shared" si="6"/>
        <v>49000</v>
      </c>
      <c r="I73" s="2">
        <f t="shared" si="7"/>
        <v>50000</v>
      </c>
      <c r="J73" s="14">
        <f t="shared" si="8"/>
        <v>740</v>
      </c>
    </row>
    <row r="74" spans="8:10" ht="14.25" hidden="1" customHeight="1">
      <c r="H74" s="2">
        <f t="shared" si="6"/>
        <v>50000</v>
      </c>
      <c r="I74" s="2">
        <f t="shared" si="7"/>
        <v>51000</v>
      </c>
      <c r="J74" s="14">
        <f t="shared" si="8"/>
        <v>750</v>
      </c>
    </row>
    <row r="75" spans="8:10" ht="14.25" hidden="1" customHeight="1">
      <c r="H75" s="2">
        <f t="shared" si="6"/>
        <v>51000</v>
      </c>
      <c r="I75" s="2">
        <f t="shared" si="7"/>
        <v>52000</v>
      </c>
      <c r="J75" s="14">
        <f t="shared" si="8"/>
        <v>760</v>
      </c>
    </row>
    <row r="76" spans="8:10" ht="14.25" hidden="1" customHeight="1">
      <c r="H76" s="2">
        <f t="shared" si="6"/>
        <v>52000</v>
      </c>
      <c r="I76" s="2">
        <f t="shared" si="7"/>
        <v>53000</v>
      </c>
      <c r="J76" s="14">
        <f t="shared" si="8"/>
        <v>770</v>
      </c>
    </row>
    <row r="77" spans="8:10" ht="14.25" hidden="1" customHeight="1">
      <c r="H77" s="2">
        <f t="shared" si="6"/>
        <v>53000</v>
      </c>
      <c r="I77" s="2">
        <f t="shared" si="7"/>
        <v>54000</v>
      </c>
      <c r="J77" s="14">
        <f t="shared" si="8"/>
        <v>780</v>
      </c>
    </row>
    <row r="78" spans="8:10" ht="14.25" hidden="1" customHeight="1">
      <c r="H78" s="2">
        <f t="shared" si="6"/>
        <v>54000</v>
      </c>
      <c r="I78" s="2">
        <f t="shared" si="7"/>
        <v>55000</v>
      </c>
      <c r="J78" s="14">
        <f t="shared" si="8"/>
        <v>790</v>
      </c>
    </row>
    <row r="79" spans="8:10" ht="14.25" hidden="1" customHeight="1">
      <c r="H79" s="2">
        <f t="shared" si="6"/>
        <v>55000</v>
      </c>
      <c r="I79" s="2">
        <f t="shared" si="7"/>
        <v>56000</v>
      </c>
      <c r="J79" s="14">
        <f t="shared" si="8"/>
        <v>800</v>
      </c>
    </row>
    <row r="80" spans="8:10" ht="14.25" hidden="1" customHeight="1">
      <c r="H80" s="2">
        <f t="shared" si="6"/>
        <v>56000</v>
      </c>
      <c r="I80" s="2">
        <f t="shared" si="7"/>
        <v>57000</v>
      </c>
      <c r="J80" s="14">
        <f t="shared" si="8"/>
        <v>810</v>
      </c>
    </row>
    <row r="81" spans="5:10" ht="9" hidden="1" customHeight="1">
      <c r="J81" s="14"/>
    </row>
    <row r="82" spans="5:10" ht="30.75" customHeight="1">
      <c r="E82" s="96"/>
      <c r="F82" s="96"/>
      <c r="J82" s="14"/>
    </row>
    <row r="83" spans="5:10" ht="24" customHeight="1">
      <c r="E83" s="97"/>
      <c r="F83" s="97"/>
      <c r="J83" s="14"/>
    </row>
    <row r="84" spans="5:10" ht="19.5" customHeight="1">
      <c r="E84" s="43"/>
      <c r="F84" s="44"/>
      <c r="J84" s="14"/>
    </row>
    <row r="85" spans="5:10" ht="27" customHeight="1">
      <c r="E85" s="43"/>
      <c r="F85" s="44"/>
    </row>
    <row r="86" spans="5:10" ht="24.75" customHeight="1">
      <c r="E86" s="43"/>
      <c r="F86" s="44"/>
    </row>
    <row r="87" spans="5:10" ht="25.5" customHeight="1">
      <c r="E87" s="43"/>
      <c r="F87" s="44"/>
    </row>
    <row r="88" spans="5:10" ht="23.25" customHeight="1">
      <c r="E88" s="45"/>
      <c r="F88" s="44"/>
    </row>
    <row r="89" spans="5:10" ht="24.75" customHeight="1">
      <c r="E89" s="45"/>
      <c r="F89" s="44"/>
    </row>
    <row r="90" spans="5:10" ht="14.25" customHeight="1">
      <c r="E90" s="46"/>
    </row>
    <row r="91" spans="5:10" ht="14.25" customHeight="1">
      <c r="E91"/>
    </row>
    <row r="92" spans="5:10" ht="14.25" customHeight="1">
      <c r="E92"/>
    </row>
    <row r="93" spans="5:10" ht="14.25" customHeight="1">
      <c r="E93"/>
      <c r="G93" s="16"/>
    </row>
    <row r="94" spans="5:10" ht="14.25" customHeight="1">
      <c r="E94"/>
      <c r="G94" s="16"/>
    </row>
    <row r="95" spans="5:10" ht="14.25" customHeight="1">
      <c r="E95"/>
      <c r="G95" s="47"/>
    </row>
    <row r="96" spans="5:10" ht="14.25" customHeight="1">
      <c r="E96"/>
      <c r="G96" s="48"/>
    </row>
    <row r="97" spans="5:7" ht="14.25" customHeight="1">
      <c r="E97"/>
      <c r="G97" s="49"/>
    </row>
    <row r="98" spans="5:7" ht="14.25" customHeight="1">
      <c r="E98"/>
      <c r="G98" s="16"/>
    </row>
    <row r="99" spans="5:7" ht="14.25" customHeight="1">
      <c r="E99"/>
    </row>
    <row r="100" spans="5:7" ht="14.25" customHeight="1">
      <c r="E100" s="46"/>
    </row>
    <row r="101" spans="5:7" ht="14.25" customHeight="1">
      <c r="E101"/>
    </row>
    <row r="102" spans="5:7" ht="14.25" customHeight="1">
      <c r="E102"/>
    </row>
    <row r="103" spans="5:7" ht="14.25" customHeight="1">
      <c r="E103"/>
    </row>
    <row r="104" spans="5:7" ht="14.25" customHeight="1">
      <c r="E104"/>
    </row>
    <row r="105" spans="5:7" ht="14.25" customHeight="1">
      <c r="E105"/>
    </row>
    <row r="106" spans="5:7" ht="14.25" customHeight="1">
      <c r="E106"/>
    </row>
    <row r="107" spans="5:7" ht="14.25" customHeight="1">
      <c r="E107"/>
    </row>
    <row r="108" spans="5:7" ht="14.25" customHeight="1">
      <c r="E108"/>
    </row>
  </sheetData>
  <mergeCells count="3">
    <mergeCell ref="F1:J1"/>
    <mergeCell ref="E82:F82"/>
    <mergeCell ref="E83:F8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5F9A"/>
  </sheetPr>
  <dimension ref="A1:R108"/>
  <sheetViews>
    <sheetView zoomScale="90" zoomScaleNormal="90" workbookViewId="0">
      <selection activeCell="F16" sqref="F16"/>
    </sheetView>
  </sheetViews>
  <sheetFormatPr defaultColWidth="9.125" defaultRowHeight="14.25"/>
  <cols>
    <col min="1" max="1" width="5.625" style="1" customWidth="1"/>
    <col min="2" max="2" width="19.625" style="1" customWidth="1"/>
    <col min="3" max="3" width="68.5" style="1" bestFit="1" customWidth="1"/>
    <col min="4" max="4" width="24.125" style="2" hidden="1" customWidth="1"/>
    <col min="5" max="5" width="41.5" style="2" bestFit="1" customWidth="1"/>
    <col min="6" max="6" width="24.875" style="2" customWidth="1"/>
    <col min="7" max="7" width="24.25" style="2" customWidth="1"/>
    <col min="8" max="9" width="27" style="2" customWidth="1"/>
    <col min="10" max="10" width="19.875" style="2" customWidth="1"/>
    <col min="11" max="13" width="9.125" style="2"/>
    <col min="14" max="15" width="13.5" style="2" customWidth="1"/>
    <col min="16" max="16" width="12.5" style="2" customWidth="1"/>
    <col min="17" max="17" width="9.875" style="2" customWidth="1"/>
    <col min="18" max="18" width="10.125" style="2" customWidth="1"/>
    <col min="19" max="16384" width="9.125" style="2"/>
  </cols>
  <sheetData>
    <row r="1" spans="1:18" ht="30" customHeight="1">
      <c r="C1" s="3" t="s">
        <v>0</v>
      </c>
      <c r="D1" s="3" t="s">
        <v>0</v>
      </c>
      <c r="E1" s="4">
        <f>Sheet1!E1</f>
        <v>46268</v>
      </c>
      <c r="F1" s="95" t="s">
        <v>1</v>
      </c>
      <c r="G1" s="95"/>
      <c r="H1" s="95"/>
      <c r="I1" s="95"/>
      <c r="J1" s="95"/>
    </row>
    <row r="2" spans="1:18" ht="20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8" ht="18" customHeight="1">
      <c r="A3" s="6">
        <v>1</v>
      </c>
      <c r="B3" s="7" t="str">
        <f>Sheet1!B6</f>
        <v>DDN-1286</v>
      </c>
      <c r="C3" s="8" t="str">
        <f>Sheet1!C6</f>
        <v>PRK1B PENAPLATA DDN</v>
      </c>
      <c r="D3" s="9"/>
      <c r="E3" s="10" t="str">
        <f>Sheet1!E6</f>
        <v>DIANA B. CANILLO SARAGENA</v>
      </c>
      <c r="F3" s="11">
        <f>IFERROR(VLOOKUP($B3,'EOD - SEPTEMBER 3, 2026'!$B$2:$G$1004,3,FALSE()),0)</f>
        <v>10015</v>
      </c>
      <c r="G3" s="12">
        <f>Sheet1!G6</f>
        <v>1200</v>
      </c>
      <c r="H3" s="13">
        <f t="shared" ref="H3:H22" si="0">F3*0.125</f>
        <v>1251.875</v>
      </c>
      <c r="I3" s="13">
        <f t="shared" ref="I3:I21" si="1">F3-G3-H3</f>
        <v>7563.125</v>
      </c>
      <c r="J3" s="13">
        <f t="shared" ref="J3:J21" si="2">IF((AND(F3&gt;=100,F3&lt;5000)),$J$28,IF((AND(F3&gt;=5000,F3&lt;6000)),$J$29,IF((AND(F3&gt;=6000,F3&lt;7000)),$J$30,IF((AND(F3&gt;=7000,F3&lt;8000)),$J$31,IF((AND(F3&gt;=8000,F3&lt;9000)),$J$32,IF((AND(F3&gt;=9000,F3&lt;10000)),$J$33,IF((AND(F3&gt;=10000,F3&lt;11000)),$J$34,IF((AND(F3&gt;=11000,F3&lt;12000)),$J$35,IF((AND(F3&gt;=12000,F3&lt;13000)),$J$36,IF((AND(F3&gt;=13000,F3&lt;14000)),$J$37,IF((AND(F3&gt;=14000,F3&lt;15000)),$J$38,IF((AND(F3&gt;=15000,F3&lt;16000)),$J$39,IF((AND(F3&gt;=16000,F3&lt;17000)),$J$40,IF((AND(F3&gt;=17000,F3&lt;18000)),$J$41,IF((AND(F3&gt;=18000,F3&lt;19000)),$J$42,IF((AND(F3&gt;=19000,F3&lt;20000)),$J$43,IF((AND(F3&gt;=20000,F3&lt;21000)),$J$44,IF((AND(F3&gt;=21000,F3&lt;22000)),$J$45,IF((AND(F3&gt;=22000,F3&lt;23000)),$J$46,IF((AND(F3&gt;=23000,F3&lt;24000)),$J$47,IF((AND(F3&gt;=24000,F3&lt;25000)),$J$48,IF((AND(F3&gt;=25000,F3&lt;26000)),$J$49,IF((AND(F3&gt;=26000,F3&lt;27000)),$J$50,IF((AND(F3&gt;=27000,F3&lt;28000)),$J$51,IF((AND(F3&gt;=28000,F3&lt;29000)),$J$52,IF((AND(F3&gt;=29000,F3&lt;30000)),$J$53,IF((AND(F3&gt;=30000,F3&lt;31000)),$J$54,IF((AND(F3&gt;=31000,F3&lt;32000)),$J$55,IF((AND(F3&gt;=32000,F3&lt;33000)),$J$56,IF((AND(F3&gt;=33000,F3&lt;34000)),$J$57,IF((AND(F3&gt;=34000,F3&lt;35000)),$J$58,IF((AND(F3&gt;=35000,F3&lt;36000)),$J$59,IF((AND(F3&gt;=36000,F3&lt;37000)),$J$60,IF((AND(F3&gt;=37000,F3&lt;38000)),$J$61,IF((AND(F3&gt;=38000,F3&lt;39000)),$J$62,IF((AND(F3&gt;=39000,F3&lt;40000)),$J$63,IF((AND(F3&gt;=40000,F3&lt;41000)),$J$64,IF((AND(F3&gt;=41000,F3&lt;42000)),$J$65,IF((AND(F3&gt;=42000,F3&lt;43000)),$J$66,IF((AND(F3&gt;=43000,F3&lt;44000)),$J$67,IF((AND(F3&gt;=44000,F3&lt;45000)),$J$68,IF((AND(F3&gt;=45000,F3&lt;46000)),$J$69,IF((AND(F3&gt;=46000,F3&lt;47000)),$J$70,IF((AND(F3&gt;=47000,F3&lt;48000)),$J$71,IF((AND(F3&gt;=48000,F3&lt;49000)),$J$72,IF((AND(F3&gt;=49000,F3&lt;50000)),$J$73,IF((AND(F3&gt;=50000,F3&lt;51000)),$J$74,IF((AND(F3&gt;=51000,F3&lt;52000)),$J$75,IF((AND(F3&gt;=52000,F3&lt;53000)),$J$76,IF((AND(F3&gt;=53000,F3&lt;54000)),$J$77,IF((AND(F3&gt;=54000,F3&lt;55000)),$J$78,IF((AND(F3&gt;=55000,F3&lt;56000)),$J$79,IF((AND(F3&gt;=56000,F3&lt;57000)),$J$80,IF((AND(F3&gt;=57000,F3&lt;58000)),$J$81,IF((AND(F3&gt;=58000,F3&lt;59000)),$J$82,IF((AND(F3&gt;=59000,F3&lt;60000)),$J$83,IF((AND(F3&gt;=60000,F3&lt;61000)),$J$84,"0")))))))))))))))))))))))))))))))))))))))))))))))))))))))))</f>
        <v>350</v>
      </c>
      <c r="N3" s="14"/>
      <c r="O3" s="14"/>
      <c r="P3" s="14"/>
      <c r="Q3" s="14"/>
    </row>
    <row r="4" spans="1:18" ht="18.75" customHeight="1">
      <c r="A4" s="6">
        <v>2</v>
      </c>
      <c r="B4" s="7" t="str">
        <f>Sheet1!B16</f>
        <v>DDN-1302</v>
      </c>
      <c r="C4" s="8" t="str">
        <f>Sheet1!C16</f>
        <v>P2 LIMAO,PENAPLATA</v>
      </c>
      <c r="D4" s="15"/>
      <c r="E4" s="10" t="str">
        <f>Sheet1!E16</f>
        <v>Caren Espinosa</v>
      </c>
      <c r="F4" s="11">
        <f>IFERROR(VLOOKUP($B4,'EOD - SEPTEMBER 3, 2026'!$B$2:$G$1004,3,FALSE()),0)</f>
        <v>8174</v>
      </c>
      <c r="G4" s="12">
        <f>Sheet1!G16</f>
        <v>6800</v>
      </c>
      <c r="H4" s="13">
        <f t="shared" si="0"/>
        <v>1021.75</v>
      </c>
      <c r="I4" s="13">
        <f t="shared" si="1"/>
        <v>352.25</v>
      </c>
      <c r="J4" s="13">
        <f t="shared" si="2"/>
        <v>330</v>
      </c>
      <c r="N4" s="14"/>
      <c r="O4" s="14"/>
      <c r="P4" s="14"/>
      <c r="R4" s="14"/>
    </row>
    <row r="5" spans="1:18" s="81" customFormat="1" ht="18" customHeight="1">
      <c r="A5" s="80">
        <v>3</v>
      </c>
      <c r="B5" s="20" t="str">
        <f>Sheet1!B23</f>
        <v>DDN-1630</v>
      </c>
      <c r="C5" s="50" t="str">
        <f>Sheet1!C23</f>
        <v>Prk 7, ANUNANG, KAPUTIAN, IGACOS (TEMPORARY DEACTIVATED)</v>
      </c>
      <c r="D5" s="51"/>
      <c r="E5" s="22">
        <f>Sheet1!E23</f>
        <v>0</v>
      </c>
      <c r="F5" s="34">
        <f>IFERROR(VLOOKUP($B5,'EOD - SEPTEMBER 3, 2026'!$B$2:$G$1004,3,FALSE()),0)</f>
        <v>0</v>
      </c>
      <c r="G5" s="35">
        <f>Sheet1!G23</f>
        <v>0</v>
      </c>
      <c r="H5" s="36">
        <f t="shared" si="0"/>
        <v>0</v>
      </c>
      <c r="I5" s="36">
        <f t="shared" si="1"/>
        <v>0</v>
      </c>
      <c r="J5" s="36" t="str">
        <f t="shared" si="2"/>
        <v>0</v>
      </c>
      <c r="N5" s="82"/>
      <c r="O5" s="82"/>
      <c r="P5" s="82"/>
      <c r="R5" s="82"/>
    </row>
    <row r="6" spans="1:18" s="76" customFormat="1" ht="18" customHeight="1">
      <c r="A6" s="74">
        <v>4</v>
      </c>
      <c r="B6" s="68" t="str">
        <f>Sheet1!B24</f>
        <v>DDN-1631</v>
      </c>
      <c r="C6" s="69" t="str">
        <f>Sheet1!C24</f>
        <v>PORUK 3, AUMBAY, SAMAL</v>
      </c>
      <c r="D6" s="70"/>
      <c r="E6" s="18" t="str">
        <f>Sheet1!E24</f>
        <v>AMABELLE GIAN</v>
      </c>
      <c r="F6" s="71">
        <f>IFERROR(VLOOKUP($B6,'EOD - SEPTEMBER 3, 2026'!$B$2:$G$1004,3,FALSE()),0)</f>
        <v>2640</v>
      </c>
      <c r="G6" s="72">
        <f>Sheet1!G24</f>
        <v>0</v>
      </c>
      <c r="H6" s="73">
        <f t="shared" si="0"/>
        <v>330</v>
      </c>
      <c r="I6" s="73">
        <f t="shared" si="1"/>
        <v>2310</v>
      </c>
      <c r="J6" s="73">
        <f t="shared" si="2"/>
        <v>250</v>
      </c>
      <c r="N6" s="77"/>
      <c r="O6" s="77"/>
      <c r="P6" s="77"/>
      <c r="R6" s="77"/>
    </row>
    <row r="7" spans="1:18" ht="18" customHeight="1">
      <c r="A7" s="6">
        <v>5</v>
      </c>
      <c r="B7" s="7" t="str">
        <f>Sheet1!B25</f>
        <v>DDN-1632</v>
      </c>
      <c r="C7" s="8" t="str">
        <f>Sheet1!C25</f>
        <v>PUROK 1, TAGBAY SAMAL</v>
      </c>
      <c r="D7" s="15"/>
      <c r="E7" s="10" t="str">
        <f>Sheet1!E25</f>
        <v>Jeralyne Marcellones</v>
      </c>
      <c r="F7" s="11">
        <f>IFERROR(VLOOKUP($B7,'EOD - SEPTEMBER 3, 2026'!$B$2:$G$1004,3,FALSE()),0)</f>
        <v>3790</v>
      </c>
      <c r="G7" s="12">
        <f>Sheet1!G25</f>
        <v>2000</v>
      </c>
      <c r="H7" s="13">
        <f t="shared" si="0"/>
        <v>473.75</v>
      </c>
      <c r="I7" s="13">
        <f t="shared" si="1"/>
        <v>1316.25</v>
      </c>
      <c r="J7" s="13">
        <f t="shared" si="2"/>
        <v>250</v>
      </c>
      <c r="L7" s="16"/>
      <c r="N7" s="14"/>
      <c r="O7" s="14"/>
      <c r="P7" s="14"/>
      <c r="R7" s="14"/>
    </row>
    <row r="8" spans="1:18" ht="18" customHeight="1">
      <c r="A8" s="6">
        <v>6</v>
      </c>
      <c r="B8" s="7" t="str">
        <f>Sheet1!B26</f>
        <v>DDN-1634</v>
      </c>
      <c r="C8" s="8" t="str">
        <f>Sheet1!C26</f>
        <v>TAGBITINAO, GUILON</v>
      </c>
      <c r="D8" s="15"/>
      <c r="E8" s="10" t="str">
        <f>Sheet1!E26</f>
        <v>ILLAINE YBAÑEZ</v>
      </c>
      <c r="F8" s="11">
        <f>IFERROR(VLOOKUP($B8,'EOD - SEPTEMBER 3, 2026'!$B$2:$G$1004,3,FALSE()),0)</f>
        <v>5420</v>
      </c>
      <c r="G8" s="12">
        <f>Sheet1!G26</f>
        <v>0</v>
      </c>
      <c r="H8" s="13">
        <f t="shared" si="0"/>
        <v>677.5</v>
      </c>
      <c r="I8" s="13">
        <f t="shared" si="1"/>
        <v>4742.5</v>
      </c>
      <c r="J8" s="13">
        <f t="shared" si="2"/>
        <v>300</v>
      </c>
      <c r="N8" s="14"/>
      <c r="O8" s="14"/>
      <c r="P8" s="14"/>
      <c r="R8" s="14"/>
    </row>
    <row r="9" spans="1:18" ht="15.75" customHeight="1">
      <c r="A9" s="6">
        <v>7</v>
      </c>
      <c r="B9" s="7" t="str">
        <f>Sheet1!B27</f>
        <v>DDN-1679</v>
      </c>
      <c r="C9" s="8" t="str">
        <f>Sheet1!C27</f>
        <v>P4 CAWAG, IGACOS</v>
      </c>
      <c r="D9" s="15"/>
      <c r="E9" s="10" t="str">
        <f>Sheet1!E27</f>
        <v xml:space="preserve">Jasmine Nicole J. Gila </v>
      </c>
      <c r="F9" s="11">
        <f>IFERROR(VLOOKUP($B9,'EOD - SEPTEMBER 3, 2026'!$B$2:$G$1004,3,FALSE()),0)</f>
        <v>5880</v>
      </c>
      <c r="G9" s="12">
        <f>Sheet1!G27</f>
        <v>0</v>
      </c>
      <c r="H9" s="13">
        <f t="shared" si="0"/>
        <v>735</v>
      </c>
      <c r="I9" s="13">
        <f t="shared" si="1"/>
        <v>5145</v>
      </c>
      <c r="J9" s="13">
        <f t="shared" si="2"/>
        <v>300</v>
      </c>
      <c r="L9" s="16"/>
      <c r="N9" s="14"/>
      <c r="O9" s="14"/>
      <c r="P9" s="14"/>
      <c r="R9" s="14"/>
    </row>
    <row r="10" spans="1:18" ht="18" customHeight="1">
      <c r="A10" s="6">
        <v>8</v>
      </c>
      <c r="B10" s="7" t="str">
        <f>Sheet1!B28</f>
        <v>DDN-1714</v>
      </c>
      <c r="C10" s="8" t="str">
        <f>Sheet1!C28</f>
        <v>PUROK 1, CAWAG</v>
      </c>
      <c r="D10" s="15"/>
      <c r="E10" s="10" t="str">
        <f>Sheet1!E28</f>
        <v>Reisthlle Ann D. Dapiton</v>
      </c>
      <c r="F10" s="11">
        <f>IFERROR(VLOOKUP($B10,'EOD - SEPTEMBER 3, 2026'!$B$2:$G$1004,3,FALSE()),0)</f>
        <v>3765</v>
      </c>
      <c r="G10" s="12">
        <f>Sheet1!G28</f>
        <v>2400</v>
      </c>
      <c r="H10" s="13">
        <f t="shared" si="0"/>
        <v>470.625</v>
      </c>
      <c r="I10" s="13">
        <f t="shared" si="1"/>
        <v>894.375</v>
      </c>
      <c r="J10" s="13">
        <f t="shared" si="2"/>
        <v>250</v>
      </c>
      <c r="N10" s="14"/>
      <c r="O10" s="14"/>
      <c r="P10" s="14"/>
      <c r="R10" s="14"/>
    </row>
    <row r="11" spans="1:18" ht="18" customHeight="1">
      <c r="A11" s="6">
        <v>9</v>
      </c>
      <c r="B11" s="7" t="str">
        <f>Sheet1!B29</f>
        <v>DDN-1737</v>
      </c>
      <c r="C11" s="8" t="str">
        <f>Sheet1!C29</f>
        <v>PUROK 3B PARAISO CAWAG</v>
      </c>
      <c r="D11" s="15"/>
      <c r="E11" s="10" t="str">
        <f>Sheet1!E29</f>
        <v>Loraine Junatas</v>
      </c>
      <c r="F11" s="11">
        <f>IFERROR(VLOOKUP($B11,'EOD - SEPTEMBER 3, 2026'!$B$2:$G$1004,3,FALSE()),0)</f>
        <v>2660</v>
      </c>
      <c r="G11" s="12">
        <f>Sheet1!G29</f>
        <v>1200</v>
      </c>
      <c r="H11" s="13">
        <f t="shared" si="0"/>
        <v>332.5</v>
      </c>
      <c r="I11" s="13">
        <f t="shared" si="1"/>
        <v>1127.5</v>
      </c>
      <c r="J11" s="13">
        <f t="shared" si="2"/>
        <v>250</v>
      </c>
      <c r="N11" s="14"/>
      <c r="O11" s="14"/>
      <c r="P11" s="14"/>
      <c r="R11" s="14"/>
    </row>
    <row r="12" spans="1:18" ht="18" customHeight="1">
      <c r="A12" s="6">
        <v>10</v>
      </c>
      <c r="B12" s="7" t="str">
        <f>Sheet1!B30</f>
        <v>DDN-1757</v>
      </c>
      <c r="C12" s="8" t="str">
        <f>Sheet1!C30</f>
        <v>Purok 6, Aumbay, Samal City</v>
      </c>
      <c r="D12" s="15"/>
      <c r="E12" s="10" t="str">
        <f>Sheet1!E30</f>
        <v>Janilyn Buragay Callano</v>
      </c>
      <c r="F12" s="11">
        <f>IFERROR(VLOOKUP($B12,'EOD - SEPTEMBER 3, 2026'!$B$2:$G$1004,3,FALSE()),0)</f>
        <v>4050</v>
      </c>
      <c r="G12" s="12">
        <f>Sheet1!G30</f>
        <v>1600</v>
      </c>
      <c r="H12" s="13">
        <f t="shared" si="0"/>
        <v>506.25</v>
      </c>
      <c r="I12" s="13">
        <f t="shared" si="1"/>
        <v>1943.75</v>
      </c>
      <c r="J12" s="13">
        <f t="shared" si="2"/>
        <v>250</v>
      </c>
      <c r="N12" s="14"/>
      <c r="O12" s="14"/>
      <c r="P12" s="14"/>
      <c r="R12" s="14"/>
    </row>
    <row r="13" spans="1:18" ht="18" customHeight="1">
      <c r="A13" s="6">
        <v>11</v>
      </c>
      <c r="B13" s="7" t="str">
        <f>Sheet1!B31</f>
        <v>DDN-1758</v>
      </c>
      <c r="C13" s="8" t="str">
        <f>Sheet1!C31</f>
        <v xml:space="preserve">Purok 5A Tagbay, Samal </v>
      </c>
      <c r="D13" s="15"/>
      <c r="E13" s="10" t="str">
        <f>Sheet1!E31</f>
        <v>Chen A. Canillo</v>
      </c>
      <c r="F13" s="11">
        <f>IFERROR(VLOOKUP($B13,'EOD - SEPTEMBER 3, 2026'!$B$2:$G$1004,3,FALSE()),0)</f>
        <v>1640</v>
      </c>
      <c r="G13" s="12">
        <f>Sheet1!G31</f>
        <v>800</v>
      </c>
      <c r="H13" s="13">
        <f t="shared" si="0"/>
        <v>205</v>
      </c>
      <c r="I13" s="13">
        <f t="shared" si="1"/>
        <v>635</v>
      </c>
      <c r="J13" s="13">
        <f t="shared" si="2"/>
        <v>250</v>
      </c>
      <c r="N13" s="14"/>
      <c r="O13" s="14"/>
      <c r="P13" s="14"/>
      <c r="R13" s="14"/>
    </row>
    <row r="14" spans="1:18" s="31" customFormat="1" ht="18" customHeight="1">
      <c r="A14" s="23">
        <v>12</v>
      </c>
      <c r="B14" s="24" t="str">
        <f>Sheet1!B33</f>
        <v>DDN-1756</v>
      </c>
      <c r="C14" s="52" t="str">
        <f>Sheet1!C33</f>
        <v>PRK 3A PEÑAPLATA, SAMAL</v>
      </c>
      <c r="D14" s="26"/>
      <c r="E14" s="27" t="str">
        <f>Sheet1!E33</f>
        <v>ANNALYN CUENCO</v>
      </c>
      <c r="F14" s="28">
        <f>IFERROR(VLOOKUP($B14,'EOD - SEPTEMBER 3, 2026'!$B$2:$G$1004,3,FALSE()),0)</f>
        <v>6189</v>
      </c>
      <c r="G14" s="29">
        <f>Sheet1!G33</f>
        <v>4400</v>
      </c>
      <c r="H14" s="30">
        <f t="shared" si="0"/>
        <v>773.625</v>
      </c>
      <c r="I14" s="30">
        <f t="shared" si="1"/>
        <v>1015.375</v>
      </c>
      <c r="J14" s="30">
        <f t="shared" si="2"/>
        <v>310</v>
      </c>
      <c r="N14" s="32"/>
      <c r="O14" s="32"/>
      <c r="P14" s="32"/>
      <c r="R14" s="32"/>
    </row>
    <row r="15" spans="1:18" s="31" customFormat="1" ht="18" customHeight="1">
      <c r="A15" s="23">
        <v>13</v>
      </c>
      <c r="B15" s="24" t="str">
        <f>Sheet1!B34</f>
        <v>DDN-1759</v>
      </c>
      <c r="C15" s="52" t="str">
        <f>Sheet1!C34</f>
        <v>PRK KALACHOCHI, TAGBAOBO</v>
      </c>
      <c r="D15" s="26"/>
      <c r="E15" s="27" t="str">
        <f>Sheet1!E34</f>
        <v>Aiza Jane Batucan</v>
      </c>
      <c r="F15" s="28">
        <f>IFERROR(VLOOKUP($B15,'EOD - SEPTEMBER 3, 2026'!$B$2:$G$1004,3,FALSE()),0)</f>
        <v>3794</v>
      </c>
      <c r="G15" s="29">
        <f>Sheet1!G34</f>
        <v>2400</v>
      </c>
      <c r="H15" s="30">
        <f t="shared" si="0"/>
        <v>474.25</v>
      </c>
      <c r="I15" s="30">
        <f t="shared" si="1"/>
        <v>919.75</v>
      </c>
      <c r="J15" s="30">
        <f t="shared" si="2"/>
        <v>250</v>
      </c>
      <c r="N15" s="32"/>
      <c r="O15" s="32"/>
      <c r="P15" s="32"/>
      <c r="R15" s="32"/>
    </row>
    <row r="16" spans="1:18" ht="19.5" customHeight="1">
      <c r="A16" s="6">
        <v>14</v>
      </c>
      <c r="B16" s="20" t="str">
        <f>Sheet1!B35</f>
        <v>DDN-1760</v>
      </c>
      <c r="C16" s="50" t="str">
        <f>Sheet1!C35</f>
        <v>PRK ROSAL LIBOT, TAGBAOBO</v>
      </c>
      <c r="D16" s="21"/>
      <c r="E16" s="22">
        <f>Sheet1!E35</f>
        <v>0</v>
      </c>
      <c r="F16" s="34">
        <f>IFERROR(VLOOKUP($B16,'EOD - SEPTEMBER 3, 2026'!$B$2:$G$1004,3,FALSE()),0)</f>
        <v>0</v>
      </c>
      <c r="G16" s="35">
        <f>Sheet1!G35</f>
        <v>0</v>
      </c>
      <c r="H16" s="36">
        <f t="shared" si="0"/>
        <v>0</v>
      </c>
      <c r="I16" s="36">
        <f t="shared" si="1"/>
        <v>0</v>
      </c>
      <c r="J16" s="36" t="str">
        <f t="shared" si="2"/>
        <v>0</v>
      </c>
      <c r="N16" s="14"/>
      <c r="O16" s="14"/>
      <c r="P16" s="14"/>
      <c r="R16" s="14"/>
    </row>
    <row r="17" spans="1:18" s="76" customFormat="1" ht="18" customHeight="1">
      <c r="A17" s="74">
        <v>15</v>
      </c>
      <c r="B17" s="68" t="str">
        <f>Sheet1!B36</f>
        <v>DDN-1761</v>
      </c>
      <c r="C17" s="69" t="str">
        <f>Sheet1!C36</f>
        <v>PRK 7, AZUCENA, TAGBAOBO</v>
      </c>
      <c r="D17" s="70"/>
      <c r="E17" s="18" t="str">
        <f>Sheet1!E36</f>
        <v>LEZEL IBANEZ</v>
      </c>
      <c r="F17" s="71">
        <f>IFERROR(VLOOKUP($B17,'EOD - SEPTEMBER 3, 2026'!$B$2:$G$1004,3,FALSE()),0)</f>
        <v>3075</v>
      </c>
      <c r="G17" s="72">
        <f>Sheet1!G36</f>
        <v>0</v>
      </c>
      <c r="H17" s="73">
        <f t="shared" si="0"/>
        <v>384.375</v>
      </c>
      <c r="I17" s="73">
        <f t="shared" si="1"/>
        <v>2690.625</v>
      </c>
      <c r="J17" s="73">
        <f t="shared" si="2"/>
        <v>250</v>
      </c>
      <c r="N17" s="77"/>
      <c r="O17" s="77"/>
      <c r="P17" s="77"/>
      <c r="R17" s="77"/>
    </row>
    <row r="18" spans="1:18" ht="18" customHeight="1">
      <c r="A18" s="6">
        <v>16</v>
      </c>
      <c r="B18" s="20" t="str">
        <f>Sheet1!B37</f>
        <v>DDN-1762</v>
      </c>
      <c r="C18" s="50" t="str">
        <f>Sheet1!C37</f>
        <v>PRK CACAO, KAPUTIAN</v>
      </c>
      <c r="D18" s="21"/>
      <c r="E18" s="22">
        <f>Sheet1!E37</f>
        <v>0</v>
      </c>
      <c r="F18" s="34">
        <f>IFERROR(VLOOKUP($B18,'EOD - SEPTEMBER 3, 2026'!$B$2:$G$1004,3,FALSE()),0)</f>
        <v>0</v>
      </c>
      <c r="G18" s="35">
        <f>Sheet1!G37</f>
        <v>0</v>
      </c>
      <c r="H18" s="36">
        <f t="shared" si="0"/>
        <v>0</v>
      </c>
      <c r="I18" s="36">
        <f t="shared" si="1"/>
        <v>0</v>
      </c>
      <c r="J18" s="36" t="str">
        <f t="shared" si="2"/>
        <v>0</v>
      </c>
      <c r="N18" s="14"/>
      <c r="O18" s="14"/>
      <c r="P18" s="14"/>
      <c r="R18" s="14"/>
    </row>
    <row r="19" spans="1:18" s="81" customFormat="1" ht="18" customHeight="1">
      <c r="A19" s="80">
        <v>17</v>
      </c>
      <c r="B19" s="20" t="str">
        <f>Sheet1!B38</f>
        <v>DDN-1763</v>
      </c>
      <c r="C19" s="50" t="str">
        <f>Sheet1!C38</f>
        <v>PRK 3B, ANUNANG</v>
      </c>
      <c r="D19" s="21"/>
      <c r="E19" s="22" t="str">
        <f>Sheet1!E38</f>
        <v>Divine Lazo</v>
      </c>
      <c r="F19" s="34">
        <f>IFERROR(VLOOKUP($B19,'EOD - SEPTEMBER 3, 2026'!$B$2:$G$1004,3,FALSE()),0)</f>
        <v>0</v>
      </c>
      <c r="G19" s="35">
        <f>Sheet1!G38</f>
        <v>0</v>
      </c>
      <c r="H19" s="36">
        <f t="shared" si="0"/>
        <v>0</v>
      </c>
      <c r="I19" s="36">
        <f t="shared" si="1"/>
        <v>0</v>
      </c>
      <c r="J19" s="36"/>
      <c r="N19" s="82"/>
      <c r="O19" s="82"/>
      <c r="P19" s="82"/>
      <c r="R19" s="82"/>
    </row>
    <row r="20" spans="1:18" ht="18" customHeight="1">
      <c r="A20" s="6">
        <v>18</v>
      </c>
      <c r="B20" s="68" t="str">
        <f>Sheet1!B39</f>
        <v>DDN-1764</v>
      </c>
      <c r="C20" s="69" t="str">
        <f>Sheet1!C39</f>
        <v>PRK 16, KAPUTIAN</v>
      </c>
      <c r="D20" s="70"/>
      <c r="E20" s="18" t="str">
        <f>Sheet1!E39</f>
        <v>Ikn Dzaia L. Peroso</v>
      </c>
      <c r="F20" s="71">
        <f>IFERROR(VLOOKUP($B20,'EOD - SEPTEMBER 3, 2026'!$B$2:$G$1004,3,FALSE()),0)</f>
        <v>5669</v>
      </c>
      <c r="G20" s="72">
        <f>Sheet1!G39</f>
        <v>0</v>
      </c>
      <c r="H20" s="73">
        <f t="shared" si="0"/>
        <v>708.625</v>
      </c>
      <c r="I20" s="73">
        <f t="shared" si="1"/>
        <v>4960.375</v>
      </c>
      <c r="J20" s="73">
        <f t="shared" si="2"/>
        <v>300</v>
      </c>
      <c r="N20" s="14"/>
      <c r="O20" s="14"/>
      <c r="P20" s="14"/>
      <c r="R20" s="14"/>
    </row>
    <row r="21" spans="1:18" s="31" customFormat="1" ht="18" customHeight="1">
      <c r="A21" s="23">
        <v>19</v>
      </c>
      <c r="B21" s="24" t="str">
        <f>Sheet1!B40</f>
        <v>DDN-1765</v>
      </c>
      <c r="C21" s="52" t="str">
        <f>Sheet1!C40</f>
        <v>PRk 7, TADTAD, BADERA</v>
      </c>
      <c r="D21" s="26"/>
      <c r="E21" s="27" t="str">
        <f>Sheet1!E40</f>
        <v>Anne Via Feje</v>
      </c>
      <c r="F21" s="28">
        <f>IFERROR(VLOOKUP($B21,'EOD - SEPTEMBER 3, 2026'!$B$2:$G$1004,3,FALSE()),0)</f>
        <v>1764</v>
      </c>
      <c r="G21" s="29">
        <f>Sheet1!G40</f>
        <v>0</v>
      </c>
      <c r="H21" s="30">
        <f t="shared" si="0"/>
        <v>220.5</v>
      </c>
      <c r="I21" s="30">
        <f t="shared" si="1"/>
        <v>1543.5</v>
      </c>
      <c r="J21" s="30">
        <f t="shared" si="2"/>
        <v>250</v>
      </c>
      <c r="N21" s="32"/>
      <c r="O21" s="32"/>
      <c r="P21" s="32"/>
      <c r="R21" s="32"/>
    </row>
    <row r="22" spans="1:18" ht="18" customHeight="1">
      <c r="A22" s="6"/>
      <c r="B22" s="6" t="s">
        <v>65</v>
      </c>
      <c r="C22" s="8" t="s">
        <v>65</v>
      </c>
      <c r="D22" s="37" t="s">
        <v>66</v>
      </c>
      <c r="E22" s="10" t="s">
        <v>68</v>
      </c>
      <c r="F22" s="11">
        <f>IFERROR(VLOOKUP($B22,'EOD - SEPTEMBER 3, 2026'!$B$2:$G$1004,3,FALSE()),0)</f>
        <v>0</v>
      </c>
      <c r="G22" s="12">
        <f>IFERROR(VLOOKUP($B22,'EOD - SEPTEMBER 3, 2026'!$B:$G,6,FALSE()),0)</f>
        <v>0</v>
      </c>
      <c r="H22" s="13">
        <f t="shared" si="0"/>
        <v>0</v>
      </c>
      <c r="I22" s="13"/>
      <c r="J22" s="13">
        <v>500</v>
      </c>
      <c r="N22" s="14"/>
      <c r="O22" s="14"/>
      <c r="P22" s="14"/>
      <c r="R22" s="14"/>
    </row>
    <row r="23" spans="1:18" ht="20.25" customHeight="1">
      <c r="A23" s="6"/>
      <c r="B23" s="6"/>
      <c r="C23" s="37" t="s">
        <v>69</v>
      </c>
      <c r="D23" s="37" t="s">
        <v>69</v>
      </c>
      <c r="E23" s="15"/>
      <c r="F23" s="38">
        <f>SUM(F3:F22)</f>
        <v>68525</v>
      </c>
      <c r="G23" s="38">
        <f>SUM(G3:G22)</f>
        <v>22800</v>
      </c>
      <c r="H23" s="38">
        <f>SUM(H3:H22)</f>
        <v>8565.625</v>
      </c>
      <c r="I23" s="38">
        <f>SUM(I3:I22)</f>
        <v>37159.375</v>
      </c>
      <c r="J23" s="38">
        <f>SUM(J3:J22)</f>
        <v>4640</v>
      </c>
      <c r="N23" s="14"/>
      <c r="O23" s="14"/>
      <c r="P23" s="14"/>
      <c r="R23" s="14"/>
    </row>
    <row r="24" spans="1:18" ht="21" customHeight="1">
      <c r="A24" s="6"/>
      <c r="B24" s="6"/>
      <c r="C24" s="8"/>
      <c r="D24" s="15"/>
      <c r="E24" s="15"/>
      <c r="F24" s="15"/>
      <c r="G24" s="15"/>
      <c r="H24" s="39" t="s">
        <v>9</v>
      </c>
      <c r="I24" s="40">
        <f>H23</f>
        <v>8565.625</v>
      </c>
      <c r="J24" s="15"/>
      <c r="N24" s="14"/>
      <c r="O24" s="14"/>
      <c r="P24" s="14"/>
      <c r="R24" s="14"/>
    </row>
    <row r="25" spans="1:18" ht="19.5" customHeight="1">
      <c r="A25" s="6"/>
      <c r="B25" s="6"/>
      <c r="C25" s="6"/>
      <c r="D25" s="15"/>
      <c r="E25" s="15"/>
      <c r="F25" s="15"/>
      <c r="G25" s="15"/>
      <c r="H25" s="41" t="s">
        <v>70</v>
      </c>
      <c r="I25" s="38">
        <f>SUM(I23:I24)</f>
        <v>45725</v>
      </c>
      <c r="J25" s="15"/>
      <c r="N25" s="14"/>
      <c r="O25" s="14"/>
      <c r="P25" s="14"/>
      <c r="R25" s="14"/>
    </row>
    <row r="26" spans="1:18" ht="14.25" customHeight="1">
      <c r="D26" s="42"/>
      <c r="N26" s="14"/>
      <c r="O26" s="14"/>
      <c r="P26" s="14"/>
      <c r="R26" s="14"/>
    </row>
    <row r="27" spans="1:18" ht="1.5" customHeight="1">
      <c r="N27" s="14"/>
      <c r="O27" s="14"/>
      <c r="P27" s="14"/>
      <c r="R27" s="14"/>
    </row>
    <row r="28" spans="1:18" ht="18" hidden="1" customHeight="1">
      <c r="J28" s="14">
        <v>250</v>
      </c>
      <c r="N28" s="14"/>
      <c r="O28" s="14"/>
      <c r="P28" s="14"/>
      <c r="R28" s="14"/>
    </row>
    <row r="29" spans="1:18" ht="18" hidden="1" customHeight="1">
      <c r="H29" s="2">
        <v>5000</v>
      </c>
      <c r="I29" s="2">
        <v>6000</v>
      </c>
      <c r="J29" s="14">
        <v>300</v>
      </c>
      <c r="N29" s="14"/>
      <c r="O29" s="14"/>
      <c r="P29" s="14"/>
      <c r="R29" s="14"/>
    </row>
    <row r="30" spans="1:18" ht="18" hidden="1" customHeight="1">
      <c r="H30" s="2">
        <f t="shared" ref="H30:H61" si="3">H29+1000</f>
        <v>6000</v>
      </c>
      <c r="I30" s="2">
        <f t="shared" ref="I30:I61" si="4">I29+1000</f>
        <v>7000</v>
      </c>
      <c r="J30" s="14">
        <f t="shared" ref="J30:J61" si="5">J29+10</f>
        <v>310</v>
      </c>
      <c r="N30" s="14"/>
      <c r="O30" s="14"/>
      <c r="P30" s="14"/>
      <c r="R30" s="14"/>
    </row>
    <row r="31" spans="1:18" ht="18" hidden="1" customHeight="1">
      <c r="H31" s="2">
        <f t="shared" si="3"/>
        <v>7000</v>
      </c>
      <c r="I31" s="2">
        <f t="shared" si="4"/>
        <v>8000</v>
      </c>
      <c r="J31" s="14">
        <f t="shared" si="5"/>
        <v>320</v>
      </c>
      <c r="N31" s="14"/>
      <c r="O31" s="14"/>
      <c r="P31" s="14"/>
      <c r="R31" s="14"/>
    </row>
    <row r="32" spans="1:18" ht="18" hidden="1" customHeight="1">
      <c r="H32" s="2">
        <f t="shared" si="3"/>
        <v>8000</v>
      </c>
      <c r="I32" s="2">
        <f t="shared" si="4"/>
        <v>9000</v>
      </c>
      <c r="J32" s="14">
        <f t="shared" si="5"/>
        <v>330</v>
      </c>
      <c r="P32" s="14"/>
    </row>
    <row r="33" spans="8:16" ht="18" hidden="1" customHeight="1">
      <c r="H33" s="2">
        <f t="shared" si="3"/>
        <v>9000</v>
      </c>
      <c r="I33" s="2">
        <f t="shared" si="4"/>
        <v>10000</v>
      </c>
      <c r="J33" s="14">
        <f t="shared" si="5"/>
        <v>340</v>
      </c>
      <c r="P33" s="14"/>
    </row>
    <row r="34" spans="8:16" ht="18" hidden="1" customHeight="1">
      <c r="H34" s="2">
        <f t="shared" si="3"/>
        <v>10000</v>
      </c>
      <c r="I34" s="2">
        <f t="shared" si="4"/>
        <v>11000</v>
      </c>
      <c r="J34" s="14">
        <f t="shared" si="5"/>
        <v>350</v>
      </c>
    </row>
    <row r="35" spans="8:16" ht="18" hidden="1" customHeight="1">
      <c r="H35" s="2">
        <f t="shared" si="3"/>
        <v>11000</v>
      </c>
      <c r="I35" s="2">
        <f t="shared" si="4"/>
        <v>12000</v>
      </c>
      <c r="J35" s="14">
        <f t="shared" si="5"/>
        <v>360</v>
      </c>
    </row>
    <row r="36" spans="8:16" ht="18" hidden="1" customHeight="1">
      <c r="H36" s="2">
        <f t="shared" si="3"/>
        <v>12000</v>
      </c>
      <c r="I36" s="2">
        <f t="shared" si="4"/>
        <v>13000</v>
      </c>
      <c r="J36" s="14">
        <f t="shared" si="5"/>
        <v>370</v>
      </c>
    </row>
    <row r="37" spans="8:16" ht="18" hidden="1" customHeight="1">
      <c r="H37" s="2">
        <f t="shared" si="3"/>
        <v>13000</v>
      </c>
      <c r="I37" s="2">
        <f t="shared" si="4"/>
        <v>14000</v>
      </c>
      <c r="J37" s="14">
        <f t="shared" si="5"/>
        <v>380</v>
      </c>
    </row>
    <row r="38" spans="8:16" ht="18" hidden="1" customHeight="1">
      <c r="H38" s="2">
        <f t="shared" si="3"/>
        <v>14000</v>
      </c>
      <c r="I38" s="2">
        <f t="shared" si="4"/>
        <v>15000</v>
      </c>
      <c r="J38" s="14">
        <f t="shared" si="5"/>
        <v>390</v>
      </c>
    </row>
    <row r="39" spans="8:16" ht="18" hidden="1" customHeight="1">
      <c r="H39" s="2">
        <f t="shared" si="3"/>
        <v>15000</v>
      </c>
      <c r="I39" s="2">
        <f t="shared" si="4"/>
        <v>16000</v>
      </c>
      <c r="J39" s="14">
        <f t="shared" si="5"/>
        <v>400</v>
      </c>
    </row>
    <row r="40" spans="8:16" ht="18" hidden="1" customHeight="1">
      <c r="H40" s="2">
        <f t="shared" si="3"/>
        <v>16000</v>
      </c>
      <c r="I40" s="2">
        <f t="shared" si="4"/>
        <v>17000</v>
      </c>
      <c r="J40" s="14">
        <f t="shared" si="5"/>
        <v>410</v>
      </c>
    </row>
    <row r="41" spans="8:16" ht="18" hidden="1" customHeight="1">
      <c r="H41" s="2">
        <f t="shared" si="3"/>
        <v>17000</v>
      </c>
      <c r="I41" s="2">
        <f t="shared" si="4"/>
        <v>18000</v>
      </c>
      <c r="J41" s="14">
        <f t="shared" si="5"/>
        <v>420</v>
      </c>
    </row>
    <row r="42" spans="8:16" ht="18" hidden="1" customHeight="1">
      <c r="H42" s="2">
        <f t="shared" si="3"/>
        <v>18000</v>
      </c>
      <c r="I42" s="2">
        <f t="shared" si="4"/>
        <v>19000</v>
      </c>
      <c r="J42" s="14">
        <f t="shared" si="5"/>
        <v>430</v>
      </c>
    </row>
    <row r="43" spans="8:16" ht="18" hidden="1" customHeight="1">
      <c r="H43" s="2">
        <f t="shared" si="3"/>
        <v>19000</v>
      </c>
      <c r="I43" s="2">
        <f t="shared" si="4"/>
        <v>20000</v>
      </c>
      <c r="J43" s="14">
        <f t="shared" si="5"/>
        <v>440</v>
      </c>
    </row>
    <row r="44" spans="8:16" ht="18" hidden="1" customHeight="1">
      <c r="H44" s="2">
        <f t="shared" si="3"/>
        <v>20000</v>
      </c>
      <c r="I44" s="2">
        <f t="shared" si="4"/>
        <v>21000</v>
      </c>
      <c r="J44" s="14">
        <f t="shared" si="5"/>
        <v>450</v>
      </c>
    </row>
    <row r="45" spans="8:16" ht="14.25" hidden="1" customHeight="1">
      <c r="H45" s="2">
        <f t="shared" si="3"/>
        <v>21000</v>
      </c>
      <c r="I45" s="2">
        <f t="shared" si="4"/>
        <v>22000</v>
      </c>
      <c r="J45" s="14">
        <f t="shared" si="5"/>
        <v>460</v>
      </c>
    </row>
    <row r="46" spans="8:16" ht="14.25" hidden="1" customHeight="1">
      <c r="H46" s="2">
        <f t="shared" si="3"/>
        <v>22000</v>
      </c>
      <c r="I46" s="2">
        <f t="shared" si="4"/>
        <v>23000</v>
      </c>
      <c r="J46" s="14">
        <f t="shared" si="5"/>
        <v>470</v>
      </c>
    </row>
    <row r="47" spans="8:16" ht="14.25" hidden="1" customHeight="1">
      <c r="H47" s="2">
        <f t="shared" si="3"/>
        <v>23000</v>
      </c>
      <c r="I47" s="2">
        <f t="shared" si="4"/>
        <v>24000</v>
      </c>
      <c r="J47" s="14">
        <f t="shared" si="5"/>
        <v>480</v>
      </c>
    </row>
    <row r="48" spans="8:16" ht="14.25" hidden="1" customHeight="1">
      <c r="H48" s="2">
        <f t="shared" si="3"/>
        <v>24000</v>
      </c>
      <c r="I48" s="2">
        <f t="shared" si="4"/>
        <v>25000</v>
      </c>
      <c r="J48" s="14">
        <f t="shared" si="5"/>
        <v>490</v>
      </c>
    </row>
    <row r="49" spans="8:10" ht="14.25" hidden="1" customHeight="1">
      <c r="H49" s="2">
        <f t="shared" si="3"/>
        <v>25000</v>
      </c>
      <c r="I49" s="2">
        <f t="shared" si="4"/>
        <v>26000</v>
      </c>
      <c r="J49" s="14">
        <f t="shared" si="5"/>
        <v>500</v>
      </c>
    </row>
    <row r="50" spans="8:10" ht="14.25" hidden="1" customHeight="1">
      <c r="H50" s="2">
        <f t="shared" si="3"/>
        <v>26000</v>
      </c>
      <c r="I50" s="2">
        <f t="shared" si="4"/>
        <v>27000</v>
      </c>
      <c r="J50" s="14">
        <f t="shared" si="5"/>
        <v>510</v>
      </c>
    </row>
    <row r="51" spans="8:10" ht="14.25" hidden="1" customHeight="1">
      <c r="H51" s="2">
        <f t="shared" si="3"/>
        <v>27000</v>
      </c>
      <c r="I51" s="2">
        <f t="shared" si="4"/>
        <v>28000</v>
      </c>
      <c r="J51" s="14">
        <f t="shared" si="5"/>
        <v>520</v>
      </c>
    </row>
    <row r="52" spans="8:10" ht="14.25" hidden="1" customHeight="1">
      <c r="H52" s="2">
        <f t="shared" si="3"/>
        <v>28000</v>
      </c>
      <c r="I52" s="2">
        <f t="shared" si="4"/>
        <v>29000</v>
      </c>
      <c r="J52" s="14">
        <f t="shared" si="5"/>
        <v>530</v>
      </c>
    </row>
    <row r="53" spans="8:10" ht="14.25" hidden="1" customHeight="1">
      <c r="H53" s="2">
        <f t="shared" si="3"/>
        <v>29000</v>
      </c>
      <c r="I53" s="2">
        <f t="shared" si="4"/>
        <v>30000</v>
      </c>
      <c r="J53" s="14">
        <f t="shared" si="5"/>
        <v>540</v>
      </c>
    </row>
    <row r="54" spans="8:10" ht="14.25" hidden="1" customHeight="1">
      <c r="H54" s="2">
        <f t="shared" si="3"/>
        <v>30000</v>
      </c>
      <c r="I54" s="2">
        <f t="shared" si="4"/>
        <v>31000</v>
      </c>
      <c r="J54" s="14">
        <f t="shared" si="5"/>
        <v>550</v>
      </c>
    </row>
    <row r="55" spans="8:10" ht="14.25" hidden="1" customHeight="1">
      <c r="H55" s="2">
        <f t="shared" si="3"/>
        <v>31000</v>
      </c>
      <c r="I55" s="2">
        <f t="shared" si="4"/>
        <v>32000</v>
      </c>
      <c r="J55" s="14">
        <f t="shared" si="5"/>
        <v>560</v>
      </c>
    </row>
    <row r="56" spans="8:10" ht="14.25" hidden="1" customHeight="1">
      <c r="H56" s="2">
        <f t="shared" si="3"/>
        <v>32000</v>
      </c>
      <c r="I56" s="2">
        <f t="shared" si="4"/>
        <v>33000</v>
      </c>
      <c r="J56" s="14">
        <f t="shared" si="5"/>
        <v>570</v>
      </c>
    </row>
    <row r="57" spans="8:10" ht="14.25" hidden="1" customHeight="1">
      <c r="H57" s="2">
        <f t="shared" si="3"/>
        <v>33000</v>
      </c>
      <c r="I57" s="2">
        <f t="shared" si="4"/>
        <v>34000</v>
      </c>
      <c r="J57" s="14">
        <f t="shared" si="5"/>
        <v>580</v>
      </c>
    </row>
    <row r="58" spans="8:10" ht="14.25" hidden="1" customHeight="1">
      <c r="H58" s="2">
        <f t="shared" si="3"/>
        <v>34000</v>
      </c>
      <c r="I58" s="2">
        <f t="shared" si="4"/>
        <v>35000</v>
      </c>
      <c r="J58" s="14">
        <f t="shared" si="5"/>
        <v>590</v>
      </c>
    </row>
    <row r="59" spans="8:10" ht="14.25" hidden="1" customHeight="1">
      <c r="H59" s="2">
        <f t="shared" si="3"/>
        <v>35000</v>
      </c>
      <c r="I59" s="2">
        <f t="shared" si="4"/>
        <v>36000</v>
      </c>
      <c r="J59" s="14">
        <f t="shared" si="5"/>
        <v>600</v>
      </c>
    </row>
    <row r="60" spans="8:10" ht="14.25" hidden="1" customHeight="1">
      <c r="H60" s="2">
        <f t="shared" si="3"/>
        <v>36000</v>
      </c>
      <c r="I60" s="2">
        <f t="shared" si="4"/>
        <v>37000</v>
      </c>
      <c r="J60" s="14">
        <f t="shared" si="5"/>
        <v>610</v>
      </c>
    </row>
    <row r="61" spans="8:10" ht="14.25" hidden="1" customHeight="1">
      <c r="H61" s="2">
        <f t="shared" si="3"/>
        <v>37000</v>
      </c>
      <c r="I61" s="2">
        <f t="shared" si="4"/>
        <v>38000</v>
      </c>
      <c r="J61" s="14">
        <f t="shared" si="5"/>
        <v>620</v>
      </c>
    </row>
    <row r="62" spans="8:10" ht="14.25" hidden="1" customHeight="1">
      <c r="H62" s="2">
        <f t="shared" ref="H62:H80" si="6">H61+1000</f>
        <v>38000</v>
      </c>
      <c r="I62" s="2">
        <f t="shared" ref="I62:I80" si="7">I61+1000</f>
        <v>39000</v>
      </c>
      <c r="J62" s="14">
        <f t="shared" ref="J62:J80" si="8">J61+10</f>
        <v>630</v>
      </c>
    </row>
    <row r="63" spans="8:10" ht="14.25" hidden="1" customHeight="1">
      <c r="H63" s="2">
        <f t="shared" si="6"/>
        <v>39000</v>
      </c>
      <c r="I63" s="2">
        <f t="shared" si="7"/>
        <v>40000</v>
      </c>
      <c r="J63" s="14">
        <f t="shared" si="8"/>
        <v>640</v>
      </c>
    </row>
    <row r="64" spans="8:10" ht="14.25" hidden="1" customHeight="1">
      <c r="H64" s="2">
        <f t="shared" si="6"/>
        <v>40000</v>
      </c>
      <c r="I64" s="2">
        <f t="shared" si="7"/>
        <v>41000</v>
      </c>
      <c r="J64" s="14">
        <f t="shared" si="8"/>
        <v>650</v>
      </c>
    </row>
    <row r="65" spans="8:10" ht="14.25" hidden="1" customHeight="1">
      <c r="H65" s="2">
        <f t="shared" si="6"/>
        <v>41000</v>
      </c>
      <c r="I65" s="2">
        <f t="shared" si="7"/>
        <v>42000</v>
      </c>
      <c r="J65" s="14">
        <f t="shared" si="8"/>
        <v>660</v>
      </c>
    </row>
    <row r="66" spans="8:10" ht="14.25" hidden="1" customHeight="1">
      <c r="H66" s="2">
        <f t="shared" si="6"/>
        <v>42000</v>
      </c>
      <c r="I66" s="2">
        <f t="shared" si="7"/>
        <v>43000</v>
      </c>
      <c r="J66" s="14">
        <f t="shared" si="8"/>
        <v>670</v>
      </c>
    </row>
    <row r="67" spans="8:10" ht="14.25" hidden="1" customHeight="1">
      <c r="H67" s="2">
        <f t="shared" si="6"/>
        <v>43000</v>
      </c>
      <c r="I67" s="2">
        <f t="shared" si="7"/>
        <v>44000</v>
      </c>
      <c r="J67" s="14">
        <f t="shared" si="8"/>
        <v>680</v>
      </c>
    </row>
    <row r="68" spans="8:10" ht="14.25" hidden="1" customHeight="1">
      <c r="H68" s="2">
        <f t="shared" si="6"/>
        <v>44000</v>
      </c>
      <c r="I68" s="2">
        <f t="shared" si="7"/>
        <v>45000</v>
      </c>
      <c r="J68" s="14">
        <f t="shared" si="8"/>
        <v>690</v>
      </c>
    </row>
    <row r="69" spans="8:10" ht="14.25" hidden="1" customHeight="1">
      <c r="H69" s="2">
        <f t="shared" si="6"/>
        <v>45000</v>
      </c>
      <c r="I69" s="2">
        <f t="shared" si="7"/>
        <v>46000</v>
      </c>
      <c r="J69" s="14">
        <f t="shared" si="8"/>
        <v>700</v>
      </c>
    </row>
    <row r="70" spans="8:10" ht="14.25" hidden="1" customHeight="1">
      <c r="H70" s="2">
        <f t="shared" si="6"/>
        <v>46000</v>
      </c>
      <c r="I70" s="2">
        <f t="shared" si="7"/>
        <v>47000</v>
      </c>
      <c r="J70" s="14">
        <f t="shared" si="8"/>
        <v>710</v>
      </c>
    </row>
    <row r="71" spans="8:10" ht="14.25" hidden="1" customHeight="1">
      <c r="H71" s="2">
        <f t="shared" si="6"/>
        <v>47000</v>
      </c>
      <c r="I71" s="2">
        <f t="shared" si="7"/>
        <v>48000</v>
      </c>
      <c r="J71" s="14">
        <f t="shared" si="8"/>
        <v>720</v>
      </c>
    </row>
    <row r="72" spans="8:10" ht="14.25" hidden="1" customHeight="1">
      <c r="H72" s="2">
        <f t="shared" si="6"/>
        <v>48000</v>
      </c>
      <c r="I72" s="2">
        <f t="shared" si="7"/>
        <v>49000</v>
      </c>
      <c r="J72" s="14">
        <f t="shared" si="8"/>
        <v>730</v>
      </c>
    </row>
    <row r="73" spans="8:10" ht="14.25" hidden="1" customHeight="1">
      <c r="H73" s="2">
        <f t="shared" si="6"/>
        <v>49000</v>
      </c>
      <c r="I73" s="2">
        <f t="shared" si="7"/>
        <v>50000</v>
      </c>
      <c r="J73" s="14">
        <f t="shared" si="8"/>
        <v>740</v>
      </c>
    </row>
    <row r="74" spans="8:10" ht="14.25" hidden="1" customHeight="1">
      <c r="H74" s="2">
        <f t="shared" si="6"/>
        <v>50000</v>
      </c>
      <c r="I74" s="2">
        <f t="shared" si="7"/>
        <v>51000</v>
      </c>
      <c r="J74" s="14">
        <f t="shared" si="8"/>
        <v>750</v>
      </c>
    </row>
    <row r="75" spans="8:10" ht="14.25" hidden="1" customHeight="1">
      <c r="H75" s="2">
        <f t="shared" si="6"/>
        <v>51000</v>
      </c>
      <c r="I75" s="2">
        <f t="shared" si="7"/>
        <v>52000</v>
      </c>
      <c r="J75" s="14">
        <f t="shared" si="8"/>
        <v>760</v>
      </c>
    </row>
    <row r="76" spans="8:10" ht="14.25" hidden="1" customHeight="1">
      <c r="H76" s="2">
        <f t="shared" si="6"/>
        <v>52000</v>
      </c>
      <c r="I76" s="2">
        <f t="shared" si="7"/>
        <v>53000</v>
      </c>
      <c r="J76" s="14">
        <f t="shared" si="8"/>
        <v>770</v>
      </c>
    </row>
    <row r="77" spans="8:10" ht="14.25" hidden="1" customHeight="1">
      <c r="H77" s="2">
        <f t="shared" si="6"/>
        <v>53000</v>
      </c>
      <c r="I77" s="2">
        <f t="shared" si="7"/>
        <v>54000</v>
      </c>
      <c r="J77" s="14">
        <f t="shared" si="8"/>
        <v>780</v>
      </c>
    </row>
    <row r="78" spans="8:10" ht="14.25" hidden="1" customHeight="1">
      <c r="H78" s="2">
        <f t="shared" si="6"/>
        <v>54000</v>
      </c>
      <c r="I78" s="2">
        <f t="shared" si="7"/>
        <v>55000</v>
      </c>
      <c r="J78" s="14">
        <f t="shared" si="8"/>
        <v>790</v>
      </c>
    </row>
    <row r="79" spans="8:10" ht="14.25" hidden="1" customHeight="1">
      <c r="H79" s="2">
        <f t="shared" si="6"/>
        <v>55000</v>
      </c>
      <c r="I79" s="2">
        <f t="shared" si="7"/>
        <v>56000</v>
      </c>
      <c r="J79" s="14">
        <f t="shared" si="8"/>
        <v>800</v>
      </c>
    </row>
    <row r="80" spans="8:10" ht="14.25" hidden="1" customHeight="1">
      <c r="H80" s="2">
        <f t="shared" si="6"/>
        <v>56000</v>
      </c>
      <c r="I80" s="2">
        <f t="shared" si="7"/>
        <v>57000</v>
      </c>
      <c r="J80" s="14">
        <f t="shared" si="8"/>
        <v>810</v>
      </c>
    </row>
    <row r="81" spans="5:10" ht="9" hidden="1" customHeight="1">
      <c r="J81" s="14"/>
    </row>
    <row r="82" spans="5:10" ht="30.75" customHeight="1">
      <c r="E82" s="96"/>
      <c r="F82" s="96"/>
      <c r="J82" s="14"/>
    </row>
    <row r="83" spans="5:10" ht="24" customHeight="1">
      <c r="E83" s="97"/>
      <c r="F83" s="97"/>
      <c r="J83" s="14"/>
    </row>
    <row r="84" spans="5:10" ht="19.5" customHeight="1">
      <c r="E84" s="43"/>
      <c r="F84" s="44"/>
      <c r="J84" s="14"/>
    </row>
    <row r="85" spans="5:10" ht="27" customHeight="1">
      <c r="E85" s="43"/>
      <c r="F85" s="44"/>
    </row>
    <row r="86" spans="5:10" ht="24.75" customHeight="1">
      <c r="E86" s="43"/>
      <c r="F86" s="44"/>
    </row>
    <row r="87" spans="5:10" ht="25.5" customHeight="1">
      <c r="E87" s="43"/>
      <c r="F87" s="44"/>
    </row>
    <row r="88" spans="5:10" ht="23.25" customHeight="1">
      <c r="E88" s="45"/>
      <c r="F88" s="44"/>
    </row>
    <row r="89" spans="5:10" ht="24.75" customHeight="1">
      <c r="E89" s="45"/>
      <c r="F89" s="44"/>
    </row>
    <row r="90" spans="5:10" ht="14.25" customHeight="1">
      <c r="E90" s="46"/>
    </row>
    <row r="91" spans="5:10" ht="14.25" customHeight="1">
      <c r="E91"/>
    </row>
    <row r="92" spans="5:10" ht="14.25" customHeight="1">
      <c r="E92"/>
    </row>
    <row r="93" spans="5:10" ht="14.25" customHeight="1">
      <c r="E93"/>
      <c r="G93" s="16"/>
    </row>
    <row r="94" spans="5:10" ht="14.25" customHeight="1">
      <c r="E94"/>
      <c r="G94" s="16"/>
    </row>
    <row r="95" spans="5:10" ht="14.25" customHeight="1">
      <c r="E95"/>
      <c r="G95" s="47"/>
    </row>
    <row r="96" spans="5:10" ht="14.25" customHeight="1">
      <c r="E96"/>
      <c r="G96" s="48"/>
    </row>
    <row r="97" spans="5:7" ht="14.25" customHeight="1">
      <c r="E97"/>
      <c r="G97" s="49"/>
    </row>
    <row r="98" spans="5:7" ht="14.25" customHeight="1">
      <c r="E98"/>
      <c r="G98" s="16"/>
    </row>
    <row r="99" spans="5:7" ht="14.25" customHeight="1">
      <c r="E99"/>
    </row>
    <row r="100" spans="5:7" ht="14.25" customHeight="1">
      <c r="E100" s="46"/>
    </row>
    <row r="101" spans="5:7" ht="14.25" customHeight="1">
      <c r="E101"/>
    </row>
    <row r="102" spans="5:7" ht="14.25" customHeight="1">
      <c r="E102"/>
    </row>
    <row r="103" spans="5:7" ht="14.25" customHeight="1">
      <c r="E103"/>
    </row>
    <row r="104" spans="5:7" ht="14.25" customHeight="1">
      <c r="E104"/>
    </row>
    <row r="105" spans="5:7" ht="14.25" customHeight="1">
      <c r="E105"/>
    </row>
    <row r="106" spans="5:7" ht="14.25" customHeight="1">
      <c r="E106"/>
    </row>
    <row r="107" spans="5:7" ht="14.25" customHeight="1">
      <c r="E107"/>
    </row>
    <row r="108" spans="5:7" ht="14.25" customHeight="1">
      <c r="E108"/>
    </row>
  </sheetData>
  <mergeCells count="3">
    <mergeCell ref="F1:J1"/>
    <mergeCell ref="E82:F82"/>
    <mergeCell ref="E83:F8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7"/>
  <sheetViews>
    <sheetView zoomScale="118" zoomScaleNormal="102" workbookViewId="0">
      <pane ySplit="1" topLeftCell="A132" activePane="bottomLeft" state="frozen"/>
      <selection pane="bottomLeft" activeCell="B140" sqref="B140:D150"/>
    </sheetView>
  </sheetViews>
  <sheetFormatPr defaultColWidth="9" defaultRowHeight="15"/>
  <cols>
    <col min="1" max="1" width="13.125" style="53" customWidth="1"/>
    <col min="2" max="2" width="14.125" style="53" customWidth="1"/>
    <col min="3" max="3" width="11.125" style="53" customWidth="1"/>
    <col min="4" max="4" width="13" style="54" bestFit="1" customWidth="1"/>
    <col min="5" max="5" width="11.75" style="54" customWidth="1"/>
    <col min="6" max="6" width="18.5" style="54" customWidth="1"/>
    <col min="7" max="7" width="16.5" style="54" customWidth="1"/>
    <col min="8" max="8" width="12.125" style="54" customWidth="1"/>
    <col min="9" max="16384" width="9" style="53"/>
  </cols>
  <sheetData>
    <row r="1" spans="1:8" ht="15" customHeight="1">
      <c r="A1" s="55" t="s">
        <v>158</v>
      </c>
      <c r="B1" s="55" t="s">
        <v>71</v>
      </c>
      <c r="C1" s="55" t="s">
        <v>72</v>
      </c>
      <c r="D1" s="55" t="s">
        <v>73</v>
      </c>
      <c r="E1" s="55" t="s">
        <v>74</v>
      </c>
      <c r="F1" s="55" t="s">
        <v>75</v>
      </c>
      <c r="G1" s="55" t="s">
        <v>76</v>
      </c>
      <c r="H1" s="57" t="s">
        <v>77</v>
      </c>
    </row>
    <row r="2" spans="1:8">
      <c r="A2" s="53" t="inlineStr">
        <is>
          <t>2026-09-03</t>
        </is>
      </c>
      <c r="B2" s="53" t="inlineStr">
        <is>
          <t>DDN-768</t>
        </is>
      </c>
      <c r="C2" s="53" t="inlineStr">
        <is>
          <t>DDN-768</t>
        </is>
      </c>
      <c r="D2" s="54">
        <v>2870</v>
      </c>
      <c r="E2" s="54">
        <v>2511.25</v>
      </c>
      <c r="F2" s="54">
        <v>358.75</v>
      </c>
      <c r="G2" s="54">
        <v>0</v>
      </c>
      <c r="H2" s="54">
        <v>2511.25</v>
      </c>
    </row>
    <row r="3" spans="1:8">
      <c r="A3" s="53" t="inlineStr">
        <is>
          <t>2026-09-03</t>
        </is>
      </c>
      <c r="B3" s="53" t="inlineStr">
        <is>
          <t>DDN-1765</t>
        </is>
      </c>
      <c r="C3" s="53" t="inlineStr">
        <is>
          <t>DDN-1765</t>
        </is>
      </c>
      <c r="D3" s="54">
        <v>1764</v>
      </c>
      <c r="E3" s="54">
        <v>1543.5</v>
      </c>
      <c r="F3" s="54">
        <v>220.5</v>
      </c>
      <c r="G3" s="54">
        <v>0</v>
      </c>
      <c r="H3" s="54">
        <v>1543.5</v>
      </c>
    </row>
    <row r="4" spans="1:8">
      <c r="A4" s="53" t="inlineStr">
        <is>
          <t>2026-09-03</t>
        </is>
      </c>
      <c r="B4" s="53" t="inlineStr">
        <is>
          <t>DDN-1783</t>
        </is>
      </c>
      <c r="C4" s="53" t="inlineStr">
        <is>
          <t>DDN-1783</t>
        </is>
      </c>
      <c r="D4" s="54">
        <v>2368</v>
      </c>
      <c r="E4" s="54">
        <v>2072</v>
      </c>
      <c r="F4" s="54">
        <v>296</v>
      </c>
      <c r="G4" s="54">
        <v>0</v>
      </c>
      <c r="H4" s="54">
        <v>2072</v>
      </c>
    </row>
    <row r="5" spans="1:8">
      <c r="A5" s="53" t="inlineStr">
        <is>
          <t>2026-09-03</t>
        </is>
      </c>
      <c r="B5" s="53" t="inlineStr">
        <is>
          <t>DDN-1738</t>
        </is>
      </c>
      <c r="C5" s="53" t="inlineStr">
        <is>
          <t>DDN-1738</t>
        </is>
      </c>
      <c r="D5" s="54">
        <v>1794</v>
      </c>
      <c r="E5" s="54">
        <v>1569.75</v>
      </c>
      <c r="F5" s="54">
        <v>224.25</v>
      </c>
      <c r="G5" s="54">
        <v>0</v>
      </c>
      <c r="H5" s="54">
        <v>1569.75</v>
      </c>
    </row>
    <row r="6" spans="1:8">
      <c r="A6" s="53" t="inlineStr">
        <is>
          <t>2026-09-03</t>
        </is>
      </c>
      <c r="B6" s="53" t="inlineStr">
        <is>
          <t>DDN-1716</t>
        </is>
      </c>
      <c r="C6" s="53" t="inlineStr">
        <is>
          <t>DDN-1716</t>
        </is>
      </c>
      <c r="D6" s="54">
        <v>1180</v>
      </c>
      <c r="E6" s="54">
        <v>1032.5</v>
      </c>
      <c r="F6" s="54">
        <v>147.5</v>
      </c>
      <c r="G6" s="54">
        <v>0</v>
      </c>
      <c r="H6" s="54">
        <v>1032.5</v>
      </c>
    </row>
    <row r="7" spans="1:8">
      <c r="A7" s="53" t="inlineStr">
        <is>
          <t>2026-09-03</t>
        </is>
      </c>
      <c r="B7" s="53" t="inlineStr">
        <is>
          <t>DDN-1721</t>
        </is>
      </c>
      <c r="C7" s="53" t="inlineStr">
        <is>
          <t>DDN-1721</t>
        </is>
      </c>
      <c r="D7" s="54">
        <v>3786</v>
      </c>
      <c r="E7" s="54">
        <v>3312.75</v>
      </c>
      <c r="F7" s="54">
        <v>473.25</v>
      </c>
      <c r="G7" s="54">
        <v>800</v>
      </c>
      <c r="H7" s="54">
        <v>2512.75</v>
      </c>
    </row>
    <row r="8" spans="1:8">
      <c r="A8" s="53" t="inlineStr">
        <is>
          <t>2026-09-03</t>
        </is>
      </c>
      <c r="B8" s="53" t="inlineStr">
        <is>
          <t>DDN-1296</t>
        </is>
      </c>
      <c r="C8" s="53" t="inlineStr">
        <is>
          <t>DDN-1296</t>
        </is>
      </c>
      <c r="D8" s="54">
        <v>2775</v>
      </c>
      <c r="E8" s="54">
        <v>2428.13</v>
      </c>
      <c r="F8" s="54">
        <v>346.88</v>
      </c>
      <c r="G8" s="54">
        <v>0</v>
      </c>
      <c r="H8" s="54">
        <v>2428.13</v>
      </c>
    </row>
    <row r="9" spans="1:8">
      <c r="A9" s="53" t="inlineStr">
        <is>
          <t>2026-09-03</t>
        </is>
      </c>
      <c r="B9" s="53" t="inlineStr">
        <is>
          <t>DDN-422</t>
        </is>
      </c>
      <c r="C9" s="53" t="inlineStr">
        <is>
          <t>DDN-422</t>
        </is>
      </c>
      <c r="D9" s="54">
        <v>5025</v>
      </c>
      <c r="E9" s="54">
        <v>4396.88</v>
      </c>
      <c r="F9" s="54">
        <v>628.13</v>
      </c>
      <c r="G9" s="54">
        <v>800</v>
      </c>
      <c r="H9" s="54">
        <v>3596.88</v>
      </c>
    </row>
    <row r="10" spans="1:8">
      <c r="A10" s="53" t="inlineStr">
        <is>
          <t>2026-09-03</t>
        </is>
      </c>
      <c r="B10" s="53" t="inlineStr">
        <is>
          <t>DDN-755</t>
        </is>
      </c>
      <c r="C10" s="53" t="inlineStr">
        <is>
          <t>DDN-755</t>
        </is>
      </c>
      <c r="D10" s="54">
        <v>7775</v>
      </c>
      <c r="E10" s="54">
        <v>6803.13</v>
      </c>
      <c r="F10" s="54">
        <v>971.88</v>
      </c>
      <c r="G10" s="54">
        <v>4800</v>
      </c>
      <c r="H10" s="54">
        <v>2003.13</v>
      </c>
    </row>
    <row r="11" spans="1:8">
      <c r="A11" s="53" t="inlineStr">
        <is>
          <t>2026-09-03</t>
        </is>
      </c>
      <c r="B11" s="53" t="inlineStr">
        <is>
          <t>DDN-423</t>
        </is>
      </c>
      <c r="C11" s="53" t="inlineStr">
        <is>
          <t>DDN-423</t>
        </is>
      </c>
      <c r="D11" s="54">
        <v>3435</v>
      </c>
      <c r="E11" s="54">
        <v>3005.63</v>
      </c>
      <c r="F11" s="54">
        <v>429.38</v>
      </c>
      <c r="G11" s="54">
        <v>1200</v>
      </c>
      <c r="H11" s="54">
        <v>1805.63</v>
      </c>
    </row>
    <row r="12" spans="1:8">
      <c r="A12" s="53" t="inlineStr">
        <is>
          <t>2026-09-03</t>
        </is>
      </c>
      <c r="B12" s="53" t="inlineStr">
        <is>
          <t>DDN-400</t>
        </is>
      </c>
      <c r="C12" s="53" t="inlineStr">
        <is>
          <t>DDN-400</t>
        </is>
      </c>
      <c r="D12" s="54">
        <v>5890</v>
      </c>
      <c r="E12" s="54">
        <v>5153.75</v>
      </c>
      <c r="F12" s="54">
        <v>736.25</v>
      </c>
      <c r="G12" s="54">
        <v>800</v>
      </c>
      <c r="H12" s="54">
        <v>4353.75</v>
      </c>
    </row>
    <row r="13" spans="1:8">
      <c r="A13" s="53" t="inlineStr">
        <is>
          <t>2026-09-03</t>
        </is>
      </c>
      <c r="B13" s="53" t="inlineStr">
        <is>
          <t>DDN-1801</t>
        </is>
      </c>
      <c r="C13" s="53" t="inlineStr">
        <is>
          <t>DDN-1801</t>
        </is>
      </c>
      <c r="D13" s="54">
        <v>1115</v>
      </c>
      <c r="E13" s="54">
        <v>975.63</v>
      </c>
      <c r="F13" s="54">
        <v>139.38</v>
      </c>
      <c r="G13" s="54">
        <v>0</v>
      </c>
      <c r="H13" s="54">
        <v>975.63</v>
      </c>
    </row>
    <row r="14" spans="1:8">
      <c r="A14" s="53" t="inlineStr">
        <is>
          <t>2026-09-03</t>
        </is>
      </c>
      <c r="B14" s="53" t="inlineStr">
        <is>
          <t>DDN-430</t>
        </is>
      </c>
      <c r="C14" s="53" t="inlineStr">
        <is>
          <t>DDN-430</t>
        </is>
      </c>
      <c r="D14" s="54">
        <v>7214</v>
      </c>
      <c r="E14" s="54">
        <v>6312.25</v>
      </c>
      <c r="F14" s="54">
        <v>901.75</v>
      </c>
      <c r="G14" s="54">
        <v>4400</v>
      </c>
      <c r="H14" s="54">
        <v>1912.25</v>
      </c>
    </row>
    <row r="15" spans="1:8">
      <c r="A15" s="53" t="inlineStr">
        <is>
          <t>2026-09-03</t>
        </is>
      </c>
      <c r="B15" s="53" t="inlineStr">
        <is>
          <t>DDN-1743</t>
        </is>
      </c>
      <c r="C15" s="53" t="inlineStr">
        <is>
          <t>DDN-1743</t>
        </is>
      </c>
      <c r="D15" s="54">
        <v>1428</v>
      </c>
      <c r="E15" s="54">
        <v>1249.5</v>
      </c>
      <c r="F15" s="54">
        <v>178.5</v>
      </c>
      <c r="G15" s="54">
        <v>0</v>
      </c>
      <c r="H15" s="54">
        <v>1249.5</v>
      </c>
    </row>
    <row r="16" spans="1:8">
      <c r="A16" s="53" t="inlineStr">
        <is>
          <t>2026-09-03</t>
        </is>
      </c>
      <c r="B16" s="53" t="inlineStr">
        <is>
          <t>DDN-1737</t>
        </is>
      </c>
      <c r="C16" s="53" t="inlineStr">
        <is>
          <t>DDN-1737</t>
        </is>
      </c>
      <c r="D16" s="54">
        <v>2660</v>
      </c>
      <c r="E16" s="54">
        <v>2327.5</v>
      </c>
      <c r="F16" s="54">
        <v>332.5</v>
      </c>
      <c r="G16" s="54">
        <v>1200</v>
      </c>
      <c r="H16" s="54">
        <v>1127.5</v>
      </c>
    </row>
    <row r="17" spans="1:8">
      <c r="A17" s="53" t="inlineStr">
        <is>
          <t>2026-09-03</t>
        </is>
      </c>
      <c r="B17" s="53" t="inlineStr">
        <is>
          <t>DDN-765</t>
        </is>
      </c>
      <c r="C17" s="53" t="inlineStr">
        <is>
          <t>DDN-765</t>
        </is>
      </c>
      <c r="D17" s="54">
        <v>2771</v>
      </c>
      <c r="E17" s="54">
        <v>2424.63</v>
      </c>
      <c r="F17" s="54">
        <v>346.38</v>
      </c>
      <c r="G17" s="54">
        <v>0</v>
      </c>
      <c r="H17" s="54">
        <v>2424.63</v>
      </c>
    </row>
    <row r="18" spans="1:8">
      <c r="A18" s="53" t="inlineStr">
        <is>
          <t>2026-09-03</t>
        </is>
      </c>
      <c r="B18" s="53" t="inlineStr">
        <is>
          <t>DDN-1799</t>
        </is>
      </c>
      <c r="C18" s="53" t="inlineStr">
        <is>
          <t>DDN-1799</t>
        </is>
      </c>
      <c r="D18" s="54">
        <v>2207</v>
      </c>
      <c r="E18" s="54">
        <v>1931.13</v>
      </c>
      <c r="F18" s="54">
        <v>275.88</v>
      </c>
      <c r="G18" s="54">
        <v>0</v>
      </c>
      <c r="H18" s="54">
        <v>1931.13</v>
      </c>
    </row>
    <row r="19" spans="1:8">
      <c r="A19" s="53" t="inlineStr">
        <is>
          <t>2026-09-03</t>
        </is>
      </c>
      <c r="B19" s="53" t="inlineStr">
        <is>
          <t>DDN-1305</t>
        </is>
      </c>
      <c r="C19" s="53" t="inlineStr">
        <is>
          <t>DDN-1305</t>
        </is>
      </c>
      <c r="D19" s="54">
        <v>7317</v>
      </c>
      <c r="E19" s="54">
        <v>6402.38</v>
      </c>
      <c r="F19" s="54">
        <v>914.63</v>
      </c>
      <c r="G19" s="54">
        <v>800</v>
      </c>
      <c r="H19" s="54">
        <v>5602.38</v>
      </c>
    </row>
    <row r="20" spans="1:8">
      <c r="A20" s="53" t="inlineStr">
        <is>
          <t>2026-09-03</t>
        </is>
      </c>
      <c r="B20" s="53" t="inlineStr">
        <is>
          <t>DDN-1680</t>
        </is>
      </c>
      <c r="C20" s="53" t="inlineStr">
        <is>
          <t>DDN-1680</t>
        </is>
      </c>
      <c r="D20" s="54">
        <v>3835</v>
      </c>
      <c r="E20" s="54">
        <v>3355.63</v>
      </c>
      <c r="F20" s="54">
        <v>479.38</v>
      </c>
      <c r="G20" s="54">
        <v>0</v>
      </c>
      <c r="H20" s="54">
        <v>3355.63</v>
      </c>
    </row>
    <row r="21" spans="1:8">
      <c r="A21" s="53" t="inlineStr">
        <is>
          <t>2026-09-03</t>
        </is>
      </c>
      <c r="B21" s="53" t="inlineStr">
        <is>
          <t>DDN-1802</t>
        </is>
      </c>
      <c r="C21" s="53" t="inlineStr">
        <is>
          <t>DDN-1802</t>
        </is>
      </c>
      <c r="D21" s="54">
        <v>1475</v>
      </c>
      <c r="E21" s="54">
        <v>1290.63</v>
      </c>
      <c r="F21" s="54">
        <v>184.38</v>
      </c>
      <c r="G21" s="54">
        <v>0</v>
      </c>
      <c r="H21" s="54">
        <v>1290.63</v>
      </c>
    </row>
    <row r="22" spans="1:8">
      <c r="A22" s="53" t="inlineStr">
        <is>
          <t>2026-09-03</t>
        </is>
      </c>
      <c r="B22" s="53" t="inlineStr">
        <is>
          <t>DDN-1524</t>
        </is>
      </c>
      <c r="C22" s="53" t="inlineStr">
        <is>
          <t>DDN-1524</t>
        </is>
      </c>
      <c r="D22" s="54">
        <v>11821</v>
      </c>
      <c r="E22" s="54">
        <v>10343.38</v>
      </c>
      <c r="F22" s="54">
        <v>1477.63</v>
      </c>
      <c r="G22" s="54">
        <v>6800</v>
      </c>
      <c r="H22" s="54">
        <v>3543.38</v>
      </c>
    </row>
    <row r="23" spans="1:8">
      <c r="A23" s="53" t="inlineStr">
        <is>
          <t>2026-09-03</t>
        </is>
      </c>
      <c r="B23" s="53" t="inlineStr">
        <is>
          <t>DDN-1741</t>
        </is>
      </c>
      <c r="C23" s="53" t="inlineStr">
        <is>
          <t>DDN-1741</t>
        </is>
      </c>
      <c r="D23" s="54">
        <v>1470</v>
      </c>
      <c r="E23" s="54">
        <v>1286.25</v>
      </c>
      <c r="F23" s="54">
        <v>183.75</v>
      </c>
      <c r="G23" s="54">
        <v>0</v>
      </c>
      <c r="H23" s="54">
        <v>1286.25</v>
      </c>
    </row>
    <row r="24" spans="1:8">
      <c r="A24" s="53" t="inlineStr">
        <is>
          <t>2026-09-03</t>
        </is>
      </c>
      <c r="B24" s="53" t="inlineStr">
        <is>
          <t>DDN-1679</t>
        </is>
      </c>
      <c r="C24" s="53" t="inlineStr">
        <is>
          <t>DDN-1679</t>
        </is>
      </c>
      <c r="D24" s="54">
        <v>5880</v>
      </c>
      <c r="E24" s="54">
        <v>5145</v>
      </c>
      <c r="F24" s="54">
        <v>735</v>
      </c>
      <c r="G24" s="54">
        <v>0</v>
      </c>
      <c r="H24" s="54">
        <v>5145</v>
      </c>
    </row>
    <row r="25" spans="1:8">
      <c r="A25" s="53" t="inlineStr">
        <is>
          <t>2026-09-03</t>
        </is>
      </c>
      <c r="B25" s="53" t="inlineStr">
        <is>
          <t>DDN-763</t>
        </is>
      </c>
      <c r="C25" s="53" t="inlineStr">
        <is>
          <t>DDN-763</t>
        </is>
      </c>
      <c r="D25" s="54">
        <v>3198</v>
      </c>
      <c r="E25" s="54">
        <v>2798.25</v>
      </c>
      <c r="F25" s="54">
        <v>399.75</v>
      </c>
      <c r="G25" s="54">
        <v>0</v>
      </c>
      <c r="H25" s="54">
        <v>2798.25</v>
      </c>
    </row>
    <row r="26" spans="1:8">
      <c r="A26" s="53" t="inlineStr">
        <is>
          <t>2026-09-03</t>
        </is>
      </c>
      <c r="B26" s="53" t="inlineStr">
        <is>
          <t>DDN-424</t>
        </is>
      </c>
      <c r="C26" s="53" t="inlineStr">
        <is>
          <t>DDN-424</t>
        </is>
      </c>
      <c r="D26" s="54">
        <v>11045</v>
      </c>
      <c r="E26" s="54">
        <v>9664.38</v>
      </c>
      <c r="F26" s="54">
        <v>1380.63</v>
      </c>
      <c r="G26" s="54">
        <v>5600</v>
      </c>
      <c r="H26" s="54">
        <v>4064.38</v>
      </c>
    </row>
    <row r="27" spans="1:8">
      <c r="A27" s="53" t="inlineStr">
        <is>
          <t>2026-09-03</t>
        </is>
      </c>
      <c r="B27" s="53" t="inlineStr">
        <is>
          <t>DDN-1302</t>
        </is>
      </c>
      <c r="C27" s="53" t="inlineStr">
        <is>
          <t>DDN-1302</t>
        </is>
      </c>
      <c r="D27" s="54">
        <v>8174</v>
      </c>
      <c r="E27" s="54">
        <v>7152.25</v>
      </c>
      <c r="F27" s="54">
        <v>1021.75</v>
      </c>
      <c r="G27" s="54">
        <v>6800</v>
      </c>
      <c r="H27" s="54">
        <v>352.25</v>
      </c>
    </row>
    <row r="28" spans="1:8">
      <c r="A28" s="53" t="inlineStr">
        <is>
          <t>2026-09-03</t>
        </is>
      </c>
      <c r="B28" s="53" t="inlineStr">
        <is>
          <t>DDN-774</t>
        </is>
      </c>
      <c r="C28" s="53" t="inlineStr">
        <is>
          <t>DDN-774</t>
        </is>
      </c>
      <c r="D28" s="54">
        <v>8204</v>
      </c>
      <c r="E28" s="54">
        <v>7178.5</v>
      </c>
      <c r="F28" s="54">
        <v>1025.5</v>
      </c>
      <c r="G28" s="54">
        <v>6400</v>
      </c>
      <c r="H28" s="54">
        <v>778.5</v>
      </c>
    </row>
    <row r="29" spans="1:8">
      <c r="A29" s="53" t="inlineStr">
        <is>
          <t>2026-09-03</t>
        </is>
      </c>
      <c r="B29" s="53" t="inlineStr">
        <is>
          <t>DDN-1303</t>
        </is>
      </c>
      <c r="C29" s="53" t="inlineStr">
        <is>
          <t>DDN-1303</t>
        </is>
      </c>
      <c r="D29" s="54">
        <v>3230</v>
      </c>
      <c r="E29" s="54">
        <v>2826.25</v>
      </c>
      <c r="F29" s="54">
        <v>403.75</v>
      </c>
      <c r="G29" s="54">
        <v>0</v>
      </c>
      <c r="H29" s="54">
        <v>2826.25</v>
      </c>
    </row>
    <row r="30" spans="1:8">
      <c r="A30" s="53" t="inlineStr">
        <is>
          <t>2026-09-03</t>
        </is>
      </c>
      <c r="B30" s="53" t="inlineStr">
        <is>
          <t>DDN-1714</t>
        </is>
      </c>
      <c r="C30" s="53" t="inlineStr">
        <is>
          <t>DDN-1714</t>
        </is>
      </c>
      <c r="D30" s="54">
        <v>3765</v>
      </c>
      <c r="E30" s="54">
        <v>3294.38</v>
      </c>
      <c r="F30" s="54">
        <v>470.63</v>
      </c>
      <c r="G30" s="54">
        <v>2400</v>
      </c>
      <c r="H30" s="54">
        <v>894.38</v>
      </c>
    </row>
    <row r="31" spans="1:8">
      <c r="A31" s="53" t="inlineStr">
        <is>
          <t>2026-09-03</t>
        </is>
      </c>
      <c r="B31" s="53" t="inlineStr">
        <is>
          <t>DDN-1590</t>
        </is>
      </c>
      <c r="C31" s="53" t="inlineStr">
        <is>
          <t>DDN-1590</t>
        </is>
      </c>
      <c r="D31" s="54">
        <v>2865</v>
      </c>
      <c r="E31" s="54">
        <v>2506.88</v>
      </c>
      <c r="F31" s="54">
        <v>358.13</v>
      </c>
      <c r="G31" s="54">
        <v>0</v>
      </c>
      <c r="H31" s="54">
        <v>2506.88</v>
      </c>
    </row>
    <row r="32" spans="1:8">
      <c r="A32" s="53" t="inlineStr">
        <is>
          <t>2026-09-03</t>
        </is>
      </c>
      <c r="B32" s="53" t="inlineStr">
        <is>
          <t>DDN-1299</t>
        </is>
      </c>
      <c r="C32" s="53" t="inlineStr">
        <is>
          <t>DDN-1299</t>
        </is>
      </c>
      <c r="D32" s="54">
        <v>6067</v>
      </c>
      <c r="E32" s="54">
        <v>5308.63</v>
      </c>
      <c r="F32" s="54">
        <v>758.38</v>
      </c>
      <c r="G32" s="54">
        <v>1600</v>
      </c>
      <c r="H32" s="54">
        <v>3708.63</v>
      </c>
    </row>
    <row r="33" spans="1:8">
      <c r="A33" s="53" t="inlineStr">
        <is>
          <t>2026-09-03</t>
        </is>
      </c>
      <c r="B33" s="53" t="inlineStr">
        <is>
          <t>DDN-1761</t>
        </is>
      </c>
      <c r="C33" s="53" t="inlineStr">
        <is>
          <t>DDN-1761</t>
        </is>
      </c>
      <c r="D33" s="54">
        <v>3075</v>
      </c>
      <c r="E33" s="54">
        <v>2690.63</v>
      </c>
      <c r="F33" s="54">
        <v>384.38</v>
      </c>
      <c r="G33" s="54">
        <v>0</v>
      </c>
      <c r="H33" s="54">
        <v>2690.63</v>
      </c>
    </row>
    <row r="34" spans="1:8">
      <c r="A34" s="53" t="inlineStr">
        <is>
          <t>2026-09-03</t>
        </is>
      </c>
      <c r="B34" s="53" t="inlineStr">
        <is>
          <t>DDN-1588</t>
        </is>
      </c>
      <c r="C34" s="53" t="inlineStr">
        <is>
          <t>DDN-1588</t>
        </is>
      </c>
      <c r="D34" s="54">
        <v>2560</v>
      </c>
      <c r="E34" s="54">
        <v>2240</v>
      </c>
      <c r="F34" s="54">
        <v>320</v>
      </c>
      <c r="G34" s="54">
        <v>800</v>
      </c>
      <c r="H34" s="54">
        <v>1440</v>
      </c>
    </row>
    <row r="35" spans="1:8">
      <c r="A35" s="53" t="inlineStr">
        <is>
          <t>2026-09-03</t>
        </is>
      </c>
      <c r="B35" s="53" t="inlineStr">
        <is>
          <t>DDN-1764</t>
        </is>
      </c>
      <c r="C35" s="53" t="inlineStr">
        <is>
          <t>DDN-1764</t>
        </is>
      </c>
      <c r="D35" s="54">
        <v>5669</v>
      </c>
      <c r="E35" s="54">
        <v>4960.38</v>
      </c>
      <c r="F35" s="54">
        <v>708.63</v>
      </c>
      <c r="G35" s="54">
        <v>0</v>
      </c>
      <c r="H35" s="54">
        <v>4960.38</v>
      </c>
    </row>
    <row r="36" spans="1:8">
      <c r="A36" s="53" t="inlineStr">
        <is>
          <t>2026-09-03</t>
        </is>
      </c>
      <c r="B36" s="53" t="inlineStr">
        <is>
          <t>DDN-1806</t>
        </is>
      </c>
      <c r="C36" s="53" t="inlineStr">
        <is>
          <t>DDN-1806</t>
        </is>
      </c>
      <c r="D36" s="54">
        <v>2050</v>
      </c>
      <c r="E36" s="54">
        <v>1793.75</v>
      </c>
      <c r="F36" s="54">
        <v>256.25</v>
      </c>
      <c r="G36" s="54">
        <v>0</v>
      </c>
      <c r="H36" s="54">
        <v>1793.75</v>
      </c>
    </row>
    <row r="37" spans="1:8">
      <c r="A37" s="53" t="inlineStr">
        <is>
          <t>2026-09-03</t>
        </is>
      </c>
      <c r="B37" s="53" t="inlineStr">
        <is>
          <t>DDN-1715</t>
        </is>
      </c>
      <c r="C37" s="53" t="inlineStr">
        <is>
          <t>DDN-1715</t>
        </is>
      </c>
      <c r="D37" s="54">
        <v>2646</v>
      </c>
      <c r="E37" s="54">
        <v>2315.25</v>
      </c>
      <c r="F37" s="54">
        <v>330.75</v>
      </c>
      <c r="G37" s="54">
        <v>0</v>
      </c>
      <c r="H37" s="54">
        <v>2315.25</v>
      </c>
    </row>
    <row r="38" spans="1:8">
      <c r="A38" s="53" t="inlineStr">
        <is>
          <t>2026-09-03</t>
        </is>
      </c>
      <c r="B38" s="53" t="inlineStr">
        <is>
          <t>DDN-402</t>
        </is>
      </c>
      <c r="C38" s="53" t="inlineStr">
        <is>
          <t>DDN-402</t>
        </is>
      </c>
      <c r="D38" s="54">
        <v>7161</v>
      </c>
      <c r="E38" s="54">
        <v>6265.88</v>
      </c>
      <c r="F38" s="54">
        <v>895.13</v>
      </c>
      <c r="G38" s="54">
        <v>400</v>
      </c>
      <c r="H38" s="54">
        <v>5865.88</v>
      </c>
    </row>
    <row r="39" spans="1:8">
      <c r="A39" s="53" t="inlineStr">
        <is>
          <t>2026-09-03</t>
        </is>
      </c>
      <c r="B39" s="53" t="inlineStr">
        <is>
          <t>DDN-772</t>
        </is>
      </c>
      <c r="C39" s="53" t="inlineStr">
        <is>
          <t>DDN-772</t>
        </is>
      </c>
      <c r="D39" s="54">
        <v>10762</v>
      </c>
      <c r="E39" s="54">
        <v>9416.75</v>
      </c>
      <c r="F39" s="54">
        <v>1345.25</v>
      </c>
      <c r="G39" s="54">
        <v>0</v>
      </c>
      <c r="H39" s="54">
        <v>9416.75</v>
      </c>
    </row>
    <row r="40" spans="1:8">
      <c r="A40" s="53" t="inlineStr">
        <is>
          <t>2026-09-03</t>
        </is>
      </c>
      <c r="B40" s="53" t="inlineStr">
        <is>
          <t>DDN-1703</t>
        </is>
      </c>
      <c r="C40" s="53" t="inlineStr">
        <is>
          <t>DDN-1703</t>
        </is>
      </c>
      <c r="D40" s="54">
        <v>3135</v>
      </c>
      <c r="E40" s="54">
        <v>2743.13</v>
      </c>
      <c r="F40" s="54">
        <v>391.88</v>
      </c>
      <c r="G40" s="54">
        <v>0</v>
      </c>
      <c r="H40" s="54">
        <v>2743.13</v>
      </c>
    </row>
    <row r="41" spans="1:8">
      <c r="A41" s="53" t="inlineStr">
        <is>
          <t>2026-09-03</t>
        </is>
      </c>
      <c r="B41" s="53" t="inlineStr">
        <is>
          <t>DDN-397</t>
        </is>
      </c>
      <c r="C41" s="53" t="inlineStr">
        <is>
          <t>DDN-397</t>
        </is>
      </c>
      <c r="D41" s="54">
        <v>3526</v>
      </c>
      <c r="E41" s="54">
        <v>3085.25</v>
      </c>
      <c r="F41" s="54">
        <v>440.75</v>
      </c>
      <c r="G41" s="54">
        <v>800</v>
      </c>
      <c r="H41" s="54">
        <v>2285.25</v>
      </c>
    </row>
    <row r="42" spans="1:8">
      <c r="A42" s="53" t="inlineStr">
        <is>
          <t>2026-09-03</t>
        </is>
      </c>
      <c r="B42" s="53" t="inlineStr">
        <is>
          <t>DDN-1285</t>
        </is>
      </c>
      <c r="C42" s="53" t="inlineStr">
        <is>
          <t>DDN-1285</t>
        </is>
      </c>
      <c r="D42" s="54">
        <v>1675</v>
      </c>
      <c r="E42" s="54">
        <v>1465.63</v>
      </c>
      <c r="F42" s="54">
        <v>209.38</v>
      </c>
      <c r="G42" s="54">
        <v>0</v>
      </c>
      <c r="H42" s="54">
        <v>1465.63</v>
      </c>
    </row>
    <row r="43" spans="1:8">
      <c r="A43" s="53" t="inlineStr">
        <is>
          <t>2026-09-03</t>
        </is>
      </c>
      <c r="B43" s="53" t="inlineStr">
        <is>
          <t>DDN-770</t>
        </is>
      </c>
      <c r="C43" s="53" t="inlineStr">
        <is>
          <t>DDN-770</t>
        </is>
      </c>
      <c r="D43" s="54">
        <v>19727</v>
      </c>
      <c r="E43" s="54">
        <v>17261.13</v>
      </c>
      <c r="F43" s="54">
        <v>2465.88</v>
      </c>
      <c r="G43" s="54">
        <v>6400</v>
      </c>
      <c r="H43" s="54">
        <v>10861.13</v>
      </c>
    </row>
    <row r="44" spans="1:8">
      <c r="A44" s="53" t="inlineStr">
        <is>
          <t>2026-09-03</t>
        </is>
      </c>
      <c r="B44" s="53" t="inlineStr">
        <is>
          <t>DDN-1717</t>
        </is>
      </c>
      <c r="C44" s="53" t="inlineStr">
        <is>
          <t>DDN-1717</t>
        </is>
      </c>
      <c r="D44" s="54">
        <v>1590</v>
      </c>
      <c r="E44" s="54">
        <v>1391.25</v>
      </c>
      <c r="F44" s="54">
        <v>198.75</v>
      </c>
      <c r="G44" s="54">
        <v>0</v>
      </c>
      <c r="H44" s="54">
        <v>1391.25</v>
      </c>
    </row>
    <row r="45" spans="1:8">
      <c r="A45" s="53" t="inlineStr">
        <is>
          <t>2026-09-03</t>
        </is>
      </c>
      <c r="B45" s="53" t="inlineStr">
        <is>
          <t>DDN-762</t>
        </is>
      </c>
      <c r="C45" s="53" t="inlineStr">
        <is>
          <t>DDN-762</t>
        </is>
      </c>
      <c r="D45" s="54">
        <v>2530</v>
      </c>
      <c r="E45" s="54">
        <v>2213.75</v>
      </c>
      <c r="F45" s="54">
        <v>316.25</v>
      </c>
      <c r="G45" s="54">
        <v>800</v>
      </c>
      <c r="H45" s="54">
        <v>1413.75</v>
      </c>
    </row>
    <row r="46" spans="1:8">
      <c r="A46" s="53" t="inlineStr">
        <is>
          <t>2026-09-03</t>
        </is>
      </c>
      <c r="B46" s="53" t="inlineStr">
        <is>
          <t>DDN-1306</t>
        </is>
      </c>
      <c r="C46" s="53" t="inlineStr">
        <is>
          <t>DDN-1306</t>
        </is>
      </c>
      <c r="D46" s="54">
        <v>2795</v>
      </c>
      <c r="E46" s="54">
        <v>2445.63</v>
      </c>
      <c r="F46" s="54">
        <v>349.38</v>
      </c>
      <c r="G46" s="54">
        <v>0</v>
      </c>
      <c r="H46" s="54">
        <v>2445.63</v>
      </c>
    </row>
    <row r="47" spans="1:8">
      <c r="A47" s="53" t="inlineStr">
        <is>
          <t>2026-09-03</t>
        </is>
      </c>
      <c r="B47" s="53" t="inlineStr">
        <is>
          <t>DDN-756</t>
        </is>
      </c>
      <c r="C47" s="53" t="inlineStr">
        <is>
          <t>DDN-756</t>
        </is>
      </c>
      <c r="D47" s="54">
        <v>34365</v>
      </c>
      <c r="E47" s="54">
        <v>30069.38</v>
      </c>
      <c r="F47" s="54">
        <v>4295.63</v>
      </c>
      <c r="G47" s="54">
        <v>25200</v>
      </c>
      <c r="H47" s="54">
        <v>4869.38</v>
      </c>
    </row>
    <row r="48" spans="1:8">
      <c r="A48" s="53" t="inlineStr">
        <is>
          <t>2026-09-03</t>
        </is>
      </c>
      <c r="B48" s="53" t="inlineStr">
        <is>
          <t>DDN-1475</t>
        </is>
      </c>
      <c r="C48" s="53" t="inlineStr">
        <is>
          <t>DDN-1475</t>
        </is>
      </c>
      <c r="D48" s="54">
        <v>3268</v>
      </c>
      <c r="E48" s="54">
        <v>2859.5</v>
      </c>
      <c r="F48" s="54">
        <v>408.5</v>
      </c>
      <c r="G48" s="54">
        <v>0</v>
      </c>
      <c r="H48" s="54">
        <v>2859.5</v>
      </c>
    </row>
    <row r="49" spans="1:8">
      <c r="A49" s="53" t="inlineStr">
        <is>
          <t>2026-09-03</t>
        </is>
      </c>
      <c r="B49" s="53" t="inlineStr">
        <is>
          <t>DDN-1739</t>
        </is>
      </c>
      <c r="C49" s="53" t="inlineStr">
        <is>
          <t>DDN-1739</t>
        </is>
      </c>
      <c r="D49" s="54">
        <v>4543</v>
      </c>
      <c r="E49" s="54">
        <v>3975.13</v>
      </c>
      <c r="F49" s="54">
        <v>567.88</v>
      </c>
      <c r="G49" s="54">
        <v>0</v>
      </c>
      <c r="H49" s="54">
        <v>3975.13</v>
      </c>
    </row>
    <row r="50" spans="1:8">
      <c r="A50" s="53" t="inlineStr">
        <is>
          <t>2026-09-03</t>
        </is>
      </c>
      <c r="B50" s="53" t="inlineStr">
        <is>
          <t>DDN-908</t>
        </is>
      </c>
      <c r="C50" s="53" t="inlineStr">
        <is>
          <t>DDN-908</t>
        </is>
      </c>
      <c r="D50" s="54">
        <v>10424</v>
      </c>
      <c r="E50" s="54">
        <v>9121</v>
      </c>
      <c r="F50" s="54">
        <v>1303</v>
      </c>
      <c r="G50" s="54">
        <v>800</v>
      </c>
      <c r="H50" s="54">
        <v>8321</v>
      </c>
    </row>
    <row r="51" spans="1:8">
      <c r="A51" s="53" t="inlineStr">
        <is>
          <t>2026-09-03</t>
        </is>
      </c>
      <c r="B51" s="53" t="inlineStr">
        <is>
          <t>DDN-1474</t>
        </is>
      </c>
      <c r="C51" s="53" t="inlineStr">
        <is>
          <t>DDN-1474</t>
        </is>
      </c>
      <c r="D51" s="54">
        <v>2155</v>
      </c>
      <c r="E51" s="54">
        <v>1885.63</v>
      </c>
      <c r="F51" s="54">
        <v>269.38</v>
      </c>
      <c r="G51" s="54">
        <v>400</v>
      </c>
      <c r="H51" s="54">
        <v>1485.63</v>
      </c>
    </row>
    <row r="52" spans="1:8">
      <c r="A52" s="53" t="inlineStr">
        <is>
          <t>2026-09-03</t>
        </is>
      </c>
      <c r="B52" s="53" t="inlineStr">
        <is>
          <t>DDN-1742</t>
        </is>
      </c>
      <c r="C52" s="53" t="inlineStr">
        <is>
          <t>DDN-1742</t>
        </is>
      </c>
      <c r="D52" s="54">
        <v>2551</v>
      </c>
      <c r="E52" s="54">
        <v>2232.13</v>
      </c>
      <c r="F52" s="54">
        <v>318.88</v>
      </c>
      <c r="G52" s="54">
        <v>0</v>
      </c>
      <c r="H52" s="54">
        <v>2232.13</v>
      </c>
    </row>
    <row r="53" spans="1:8">
      <c r="A53" s="53" t="inlineStr">
        <is>
          <t>2026-09-03</t>
        </is>
      </c>
      <c r="B53" s="53" t="inlineStr">
        <is>
          <t>DDN-428</t>
        </is>
      </c>
      <c r="C53" s="53" t="inlineStr">
        <is>
          <t>DDN-428</t>
        </is>
      </c>
      <c r="D53" s="54">
        <v>9353</v>
      </c>
      <c r="E53" s="54">
        <v>8183.88</v>
      </c>
      <c r="F53" s="54">
        <v>1169.13</v>
      </c>
      <c r="G53" s="54">
        <v>800</v>
      </c>
      <c r="H53" s="54">
        <v>7383.88</v>
      </c>
    </row>
    <row r="54" spans="1:8">
      <c r="A54" s="53" t="inlineStr">
        <is>
          <t>2026-09-03</t>
        </is>
      </c>
      <c r="B54" s="53" t="inlineStr">
        <is>
          <t>DDN-775</t>
        </is>
      </c>
      <c r="C54" s="53" t="inlineStr">
        <is>
          <t>DDN-775</t>
        </is>
      </c>
      <c r="D54" s="54">
        <v>26303</v>
      </c>
      <c r="E54" s="54">
        <v>23015.13</v>
      </c>
      <c r="F54" s="54">
        <v>3287.88</v>
      </c>
      <c r="G54" s="54">
        <v>7200</v>
      </c>
      <c r="H54" s="54">
        <v>15815.13</v>
      </c>
    </row>
    <row r="55" spans="1:8">
      <c r="A55" s="53" t="inlineStr">
        <is>
          <t>2026-09-03</t>
        </is>
      </c>
      <c r="B55" s="53" t="inlineStr">
        <is>
          <t>DDN-1286</t>
        </is>
      </c>
      <c r="C55" s="53" t="inlineStr">
        <is>
          <t>DDN-1286</t>
        </is>
      </c>
      <c r="D55" s="54">
        <v>10015</v>
      </c>
      <c r="E55" s="54">
        <v>8763.13</v>
      </c>
      <c r="F55" s="54">
        <v>1251.88</v>
      </c>
      <c r="G55" s="54">
        <v>1200</v>
      </c>
      <c r="H55" s="54">
        <v>7563.13</v>
      </c>
    </row>
    <row r="56" spans="1:8">
      <c r="A56" s="53" t="inlineStr">
        <is>
          <t>2026-09-03</t>
        </is>
      </c>
      <c r="B56" s="53" t="inlineStr">
        <is>
          <t>DDN-910</t>
        </is>
      </c>
      <c r="C56" s="53" t="inlineStr">
        <is>
          <t>DDN-910</t>
        </is>
      </c>
      <c r="D56" s="54">
        <v>5670</v>
      </c>
      <c r="E56" s="54">
        <v>4961.25</v>
      </c>
      <c r="F56" s="54">
        <v>708.75</v>
      </c>
      <c r="G56" s="54">
        <v>800</v>
      </c>
      <c r="H56" s="54">
        <v>4161.25</v>
      </c>
    </row>
    <row r="57" spans="1:8">
      <c r="A57" s="53" t="inlineStr">
        <is>
          <t>2026-09-03</t>
        </is>
      </c>
      <c r="B57" s="53" t="inlineStr">
        <is>
          <t>DDN-1794</t>
        </is>
      </c>
      <c r="C57" s="53" t="inlineStr">
        <is>
          <t>DDN-1794</t>
        </is>
      </c>
      <c r="D57" s="54">
        <v>6699</v>
      </c>
      <c r="E57" s="54">
        <v>5861.63</v>
      </c>
      <c r="F57" s="54">
        <v>837.38</v>
      </c>
      <c r="G57" s="54">
        <v>3200</v>
      </c>
      <c r="H57" s="54">
        <v>2661.63</v>
      </c>
    </row>
    <row r="58" spans="1:8">
      <c r="A58" s="53" t="inlineStr">
        <is>
          <t>2026-09-03</t>
        </is>
      </c>
      <c r="B58" s="53" t="inlineStr">
        <is>
          <t>DDN-1722</t>
        </is>
      </c>
      <c r="C58" s="53" t="inlineStr">
        <is>
          <t>DDN-1722</t>
        </is>
      </c>
      <c r="D58" s="54">
        <v>3230</v>
      </c>
      <c r="E58" s="54">
        <v>2826.25</v>
      </c>
      <c r="F58" s="54">
        <v>403.75</v>
      </c>
      <c r="G58" s="54">
        <v>0</v>
      </c>
      <c r="H58" s="54">
        <v>2826.25</v>
      </c>
    </row>
    <row r="59" spans="1:8">
      <c r="A59" s="53" t="inlineStr">
        <is>
          <t>2026-09-03</t>
        </is>
      </c>
      <c r="B59" s="53" t="inlineStr">
        <is>
          <t>DDN-1281</t>
        </is>
      </c>
      <c r="C59" s="53" t="inlineStr">
        <is>
          <t>DDN-1281</t>
        </is>
      </c>
      <c r="D59" s="54">
        <v>8909</v>
      </c>
      <c r="E59" s="54">
        <v>7795.38</v>
      </c>
      <c r="F59" s="54">
        <v>1113.63</v>
      </c>
      <c r="G59" s="54">
        <v>7200</v>
      </c>
      <c r="H59" s="54">
        <v>595.38</v>
      </c>
    </row>
    <row r="60" spans="1:8">
      <c r="A60" s="53" t="inlineStr">
        <is>
          <t>2026-09-03</t>
        </is>
      </c>
      <c r="B60" s="53" t="inlineStr">
        <is>
          <t>DDN-780</t>
        </is>
      </c>
      <c r="C60" s="53" t="inlineStr">
        <is>
          <t>DDN-780</t>
        </is>
      </c>
      <c r="D60" s="54">
        <v>4833</v>
      </c>
      <c r="E60" s="54">
        <v>4228.88</v>
      </c>
      <c r="F60" s="54">
        <v>604.13</v>
      </c>
      <c r="G60" s="54">
        <v>2000</v>
      </c>
      <c r="H60" s="54">
        <v>2228.88</v>
      </c>
    </row>
    <row r="61" spans="1:8">
      <c r="A61" s="53" t="inlineStr">
        <is>
          <t>2026-09-03</t>
        </is>
      </c>
      <c r="B61" s="53" t="inlineStr">
        <is>
          <t>DDN-778</t>
        </is>
      </c>
      <c r="C61" s="53" t="inlineStr">
        <is>
          <t>DDN-778</t>
        </is>
      </c>
      <c r="D61" s="54">
        <v>3956</v>
      </c>
      <c r="E61" s="54">
        <v>3461.5</v>
      </c>
      <c r="F61" s="54">
        <v>494.5</v>
      </c>
      <c r="G61" s="54">
        <v>1600</v>
      </c>
      <c r="H61" s="54">
        <v>1861.5</v>
      </c>
    </row>
    <row r="62" spans="1:8">
      <c r="A62" s="53" t="inlineStr">
        <is>
          <t>2026-09-03</t>
        </is>
      </c>
      <c r="B62" s="53" t="inlineStr">
        <is>
          <t>DDN-1295</t>
        </is>
      </c>
      <c r="C62" s="53" t="inlineStr">
        <is>
          <t>DDN-1295</t>
        </is>
      </c>
      <c r="D62" s="54">
        <v>4775</v>
      </c>
      <c r="E62" s="54">
        <v>4178.13</v>
      </c>
      <c r="F62" s="54">
        <v>596.88</v>
      </c>
      <c r="G62" s="54">
        <v>0</v>
      </c>
      <c r="H62" s="54">
        <v>4178.13</v>
      </c>
    </row>
    <row r="63" spans="1:8">
      <c r="A63" s="53" t="inlineStr">
        <is>
          <t>2026-09-03</t>
        </is>
      </c>
      <c r="B63" s="53" t="inlineStr">
        <is>
          <t>DDN-426</t>
        </is>
      </c>
      <c r="C63" s="53" t="inlineStr">
        <is>
          <t>DDN-426</t>
        </is>
      </c>
      <c r="D63" s="54">
        <v>21810</v>
      </c>
      <c r="E63" s="54">
        <v>19083.75</v>
      </c>
      <c r="F63" s="54">
        <v>2726.25</v>
      </c>
      <c r="G63" s="54">
        <v>800</v>
      </c>
      <c r="H63" s="54">
        <v>18283.75</v>
      </c>
    </row>
    <row r="64" spans="1:8">
      <c r="A64" s="53" t="inlineStr">
        <is>
          <t>2026-09-03</t>
        </is>
      </c>
      <c r="B64" s="53" t="inlineStr">
        <is>
          <t>DDN-1293</t>
        </is>
      </c>
      <c r="C64" s="53" t="inlineStr">
        <is>
          <t>DDN-1293</t>
        </is>
      </c>
      <c r="D64" s="54">
        <v>4527</v>
      </c>
      <c r="E64" s="54">
        <v>3961.13</v>
      </c>
      <c r="F64" s="54">
        <v>565.88</v>
      </c>
      <c r="G64" s="54">
        <v>2400</v>
      </c>
      <c r="H64" s="54">
        <v>1561.13</v>
      </c>
    </row>
    <row r="65" spans="1:8">
      <c r="A65" s="53" t="inlineStr">
        <is>
          <t>2026-09-03</t>
        </is>
      </c>
      <c r="B65" s="53" t="inlineStr">
        <is>
          <t>DDN-767</t>
        </is>
      </c>
      <c r="C65" s="53" t="inlineStr">
        <is>
          <t>DDN-767</t>
        </is>
      </c>
      <c r="D65" s="54">
        <v>17350</v>
      </c>
      <c r="E65" s="54">
        <v>15181.25</v>
      </c>
      <c r="F65" s="54">
        <v>2168.75</v>
      </c>
      <c r="G65" s="54">
        <v>16800</v>
      </c>
      <c r="H65" s="54">
        <v>-1618.75</v>
      </c>
    </row>
    <row r="66" spans="1:8">
      <c r="A66" s="53" t="inlineStr">
        <is>
          <t>2026-09-03</t>
        </is>
      </c>
      <c r="B66" s="53" t="inlineStr">
        <is>
          <t>DDN-1781</t>
        </is>
      </c>
      <c r="C66" s="53" t="inlineStr">
        <is>
          <t>DDN-1781</t>
        </is>
      </c>
      <c r="D66" s="54">
        <v>1253</v>
      </c>
      <c r="E66" s="54">
        <v>1096.38</v>
      </c>
      <c r="F66" s="54">
        <v>156.63</v>
      </c>
      <c r="G66" s="54">
        <v>0</v>
      </c>
      <c r="H66" s="54">
        <v>1096.38</v>
      </c>
    </row>
    <row r="67" spans="1:8">
      <c r="A67" s="53" t="inlineStr">
        <is>
          <t>2026-09-03</t>
        </is>
      </c>
      <c r="B67" s="53" t="inlineStr">
        <is>
          <t>DDN-1751</t>
        </is>
      </c>
      <c r="C67" s="53" t="inlineStr">
        <is>
          <t>DDN-1751</t>
        </is>
      </c>
      <c r="D67" s="54">
        <v>2450</v>
      </c>
      <c r="E67" s="54">
        <v>2143.75</v>
      </c>
      <c r="F67" s="54">
        <v>306.25</v>
      </c>
      <c r="G67" s="54">
        <v>0</v>
      </c>
      <c r="H67" s="54">
        <v>2143.75</v>
      </c>
    </row>
    <row r="68" spans="1:8">
      <c r="A68" s="53" t="inlineStr">
        <is>
          <t>2026-09-03</t>
        </is>
      </c>
      <c r="B68" s="53" t="inlineStr">
        <is>
          <t>DDN-427</t>
        </is>
      </c>
      <c r="C68" s="53" t="inlineStr">
        <is>
          <t>DDN-427</t>
        </is>
      </c>
      <c r="D68" s="54">
        <v>3035</v>
      </c>
      <c r="E68" s="54">
        <v>2655.63</v>
      </c>
      <c r="F68" s="54">
        <v>379.38</v>
      </c>
      <c r="G68" s="54">
        <v>0</v>
      </c>
      <c r="H68" s="54">
        <v>2655.63</v>
      </c>
    </row>
    <row r="69" spans="1:8">
      <c r="A69" s="53" t="inlineStr">
        <is>
          <t>2026-09-03</t>
        </is>
      </c>
      <c r="B69" s="53" t="inlineStr">
        <is>
          <t>DDN-769</t>
        </is>
      </c>
      <c r="C69" s="53" t="inlineStr">
        <is>
          <t>DDN-769</t>
        </is>
      </c>
      <c r="D69" s="54">
        <v>33455</v>
      </c>
      <c r="E69" s="54">
        <v>29273.13</v>
      </c>
      <c r="F69" s="54">
        <v>4181.88</v>
      </c>
      <c r="G69" s="54">
        <v>12800</v>
      </c>
      <c r="H69" s="54">
        <v>16473.13</v>
      </c>
    </row>
    <row r="70" spans="1:8">
      <c r="A70" s="53" t="inlineStr">
        <is>
          <t>2026-09-03</t>
        </is>
      </c>
      <c r="B70" s="53" t="inlineStr">
        <is>
          <t>DDN-761</t>
        </is>
      </c>
      <c r="C70" s="53" t="inlineStr">
        <is>
          <t>DDN-761</t>
        </is>
      </c>
      <c r="D70" s="54">
        <v>3735</v>
      </c>
      <c r="E70" s="54">
        <v>3268.13</v>
      </c>
      <c r="F70" s="54">
        <v>466.88</v>
      </c>
      <c r="G70" s="54">
        <v>1600</v>
      </c>
      <c r="H70" s="54">
        <v>1668.13</v>
      </c>
    </row>
    <row r="71" spans="1:8">
      <c r="A71" s="53" t="inlineStr">
        <is>
          <t>2026-09-03</t>
        </is>
      </c>
      <c r="B71" s="53" t="inlineStr">
        <is>
          <t>DDN-1629</t>
        </is>
      </c>
      <c r="C71" s="53" t="inlineStr">
        <is>
          <t>DDN-1629</t>
        </is>
      </c>
      <c r="D71" s="54">
        <v>2954</v>
      </c>
      <c r="E71" s="54">
        <v>2584.75</v>
      </c>
      <c r="F71" s="54">
        <v>369.25</v>
      </c>
      <c r="G71" s="54">
        <v>400</v>
      </c>
      <c r="H71" s="54">
        <v>2184.75</v>
      </c>
    </row>
    <row r="72" spans="1:8">
      <c r="A72" s="53" t="inlineStr">
        <is>
          <t>2026-09-03</t>
        </is>
      </c>
      <c r="B72" s="53" t="inlineStr">
        <is>
          <t>DDN-1824</t>
        </is>
      </c>
      <c r="C72" s="53" t="inlineStr">
        <is>
          <t>DDN-1824</t>
        </is>
      </c>
      <c r="D72" s="54">
        <v>1955</v>
      </c>
      <c r="E72" s="54">
        <v>1710.63</v>
      </c>
      <c r="F72" s="54">
        <v>244.38</v>
      </c>
      <c r="G72" s="54">
        <v>0</v>
      </c>
      <c r="H72" s="54">
        <v>1710.63</v>
      </c>
    </row>
    <row r="73" spans="1:8">
      <c r="A73" s="53" t="inlineStr">
        <is>
          <t>2026-09-03</t>
        </is>
      </c>
      <c r="B73" s="53" t="inlineStr">
        <is>
          <t>DDN-1591</t>
        </is>
      </c>
      <c r="C73" s="53" t="inlineStr">
        <is>
          <t>DDN-1591</t>
        </is>
      </c>
      <c r="D73" s="54">
        <v>4200</v>
      </c>
      <c r="E73" s="54">
        <v>3675</v>
      </c>
      <c r="F73" s="54">
        <v>525</v>
      </c>
      <c r="G73" s="54">
        <v>0</v>
      </c>
      <c r="H73" s="54">
        <v>3675</v>
      </c>
    </row>
    <row r="74" spans="1:8">
      <c r="A74" s="53" t="inlineStr">
        <is>
          <t>2026-09-03</t>
        </is>
      </c>
      <c r="B74" s="53" t="inlineStr">
        <is>
          <t>DDN-754</t>
        </is>
      </c>
      <c r="C74" s="53" t="inlineStr">
        <is>
          <t>DDN-754</t>
        </is>
      </c>
      <c r="D74" s="54">
        <v>7727</v>
      </c>
      <c r="E74" s="54">
        <v>6761.13</v>
      </c>
      <c r="F74" s="54">
        <v>965.88</v>
      </c>
      <c r="G74" s="54">
        <v>0</v>
      </c>
      <c r="H74" s="54">
        <v>6761.13</v>
      </c>
    </row>
    <row r="75" spans="1:8">
      <c r="A75" s="53" t="inlineStr">
        <is>
          <t>2026-09-03</t>
        </is>
      </c>
      <c r="B75" s="53" t="inlineStr">
        <is>
          <t>DDN-1740</t>
        </is>
      </c>
      <c r="C75" s="53" t="inlineStr">
        <is>
          <t>DDN-1740</t>
        </is>
      </c>
      <c r="D75" s="54">
        <v>1166</v>
      </c>
      <c r="E75" s="54">
        <v>1020.25</v>
      </c>
      <c r="F75" s="54">
        <v>145.75</v>
      </c>
      <c r="G75" s="54">
        <v>0</v>
      </c>
      <c r="H75" s="54">
        <v>1020.25</v>
      </c>
    </row>
    <row r="76" spans="1:8">
      <c r="A76" s="53" t="inlineStr">
        <is>
          <t>2026-09-03</t>
        </is>
      </c>
      <c r="B76" s="53" t="inlineStr">
        <is>
          <t>DDN-353</t>
        </is>
      </c>
      <c r="C76" s="53" t="inlineStr">
        <is>
          <t>DDN-353</t>
        </is>
      </c>
      <c r="D76" s="54">
        <v>11056</v>
      </c>
      <c r="E76" s="54">
        <v>9674</v>
      </c>
      <c r="F76" s="54">
        <v>1382</v>
      </c>
      <c r="G76" s="54">
        <v>5800</v>
      </c>
      <c r="H76" s="54">
        <v>3874</v>
      </c>
    </row>
    <row r="77" spans="1:8">
      <c r="A77" s="53" t="inlineStr">
        <is>
          <t>2026-09-03</t>
        </is>
      </c>
      <c r="B77" s="53" t="inlineStr">
        <is>
          <t>DDN-1632</t>
        </is>
      </c>
      <c r="C77" s="53" t="inlineStr">
        <is>
          <t>DDN-1632</t>
        </is>
      </c>
      <c r="D77" s="54">
        <v>3790</v>
      </c>
      <c r="E77" s="54">
        <v>3316.25</v>
      </c>
      <c r="F77" s="54">
        <v>473.75</v>
      </c>
      <c r="G77" s="54">
        <v>2000</v>
      </c>
      <c r="H77" s="54">
        <v>1316.25</v>
      </c>
    </row>
    <row r="78" spans="1:8">
      <c r="A78" s="53" t="inlineStr">
        <is>
          <t>2026-09-03</t>
        </is>
      </c>
      <c r="B78" s="53" t="inlineStr">
        <is>
          <t>DDN-779</t>
        </is>
      </c>
      <c r="C78" s="53" t="inlineStr">
        <is>
          <t>DDN-779</t>
        </is>
      </c>
      <c r="D78" s="54">
        <v>4785</v>
      </c>
      <c r="E78" s="54">
        <v>4186.88</v>
      </c>
      <c r="F78" s="54">
        <v>598.13</v>
      </c>
      <c r="G78" s="54">
        <v>800</v>
      </c>
      <c r="H78" s="54">
        <v>3386.88</v>
      </c>
    </row>
    <row r="79" spans="1:8">
      <c r="A79" s="53" t="inlineStr">
        <is>
          <t>2026-09-03</t>
        </is>
      </c>
      <c r="B79" s="53" t="inlineStr">
        <is>
          <t>DDN-1523</t>
        </is>
      </c>
      <c r="C79" s="53" t="inlineStr">
        <is>
          <t>DDN-1523</t>
        </is>
      </c>
      <c r="D79" s="54">
        <v>4383</v>
      </c>
      <c r="E79" s="54">
        <v>3835.13</v>
      </c>
      <c r="F79" s="54">
        <v>547.88</v>
      </c>
      <c r="G79" s="54">
        <v>400</v>
      </c>
      <c r="H79" s="54">
        <v>3435.13</v>
      </c>
    </row>
    <row r="80" spans="1:8">
      <c r="A80" s="53" t="inlineStr">
        <is>
          <t>2026-09-03</t>
        </is>
      </c>
      <c r="B80" s="53" t="inlineStr">
        <is>
          <t>DDN-1756</t>
        </is>
      </c>
      <c r="C80" s="53" t="inlineStr">
        <is>
          <t>DDN-1756</t>
        </is>
      </c>
      <c r="D80" s="54">
        <v>6189</v>
      </c>
      <c r="E80" s="54">
        <v>5415.38</v>
      </c>
      <c r="F80" s="54">
        <v>773.63</v>
      </c>
      <c r="G80" s="54">
        <v>4400</v>
      </c>
      <c r="H80" s="54">
        <v>1015.38</v>
      </c>
    </row>
    <row r="81" spans="1:8">
      <c r="A81" s="53" t="inlineStr">
        <is>
          <t>2026-09-03</t>
        </is>
      </c>
      <c r="B81" s="53" t="inlineStr">
        <is>
          <t>DDN-1723</t>
        </is>
      </c>
      <c r="C81" s="53" t="inlineStr">
        <is>
          <t>DDN-1723</t>
        </is>
      </c>
      <c r="D81" s="54">
        <v>15865</v>
      </c>
      <c r="E81" s="54">
        <v>13881.88</v>
      </c>
      <c r="F81" s="54">
        <v>1983.13</v>
      </c>
      <c r="G81" s="54">
        <v>10000</v>
      </c>
      <c r="H81" s="54">
        <v>3881.88</v>
      </c>
    </row>
    <row r="82" spans="1:8">
      <c r="A82" s="53" t="inlineStr">
        <is>
          <t>2026-09-03</t>
        </is>
      </c>
      <c r="B82" s="53" t="inlineStr">
        <is>
          <t>DDN-777</t>
        </is>
      </c>
      <c r="C82" s="53" t="inlineStr">
        <is>
          <t>DDN-777</t>
        </is>
      </c>
      <c r="D82" s="54">
        <v>6010</v>
      </c>
      <c r="E82" s="54">
        <v>5258.75</v>
      </c>
      <c r="F82" s="54">
        <v>751.25</v>
      </c>
      <c r="G82" s="54">
        <v>4400</v>
      </c>
      <c r="H82" s="54">
        <v>858.75</v>
      </c>
    </row>
    <row r="83" spans="1:8">
      <c r="A83" s="53" t="inlineStr">
        <is>
          <t>2026-09-03</t>
        </is>
      </c>
      <c r="B83" s="53" t="inlineStr">
        <is>
          <t>DDN-773</t>
        </is>
      </c>
      <c r="C83" s="53" t="inlineStr">
        <is>
          <t>DDN-773</t>
        </is>
      </c>
      <c r="D83" s="54">
        <v>5365</v>
      </c>
      <c r="E83" s="54">
        <v>4694.38</v>
      </c>
      <c r="F83" s="54">
        <v>670.63</v>
      </c>
      <c r="G83" s="54">
        <v>2800</v>
      </c>
      <c r="H83" s="54">
        <v>1894.38</v>
      </c>
    </row>
    <row r="84" spans="1:8">
      <c r="A84" s="53" t="inlineStr">
        <is>
          <t>2026-09-03</t>
        </is>
      </c>
      <c r="B84" s="53" t="inlineStr">
        <is>
          <t>DDN-1477</t>
        </is>
      </c>
      <c r="C84" s="53" t="inlineStr">
        <is>
          <t>DDN-1477</t>
        </is>
      </c>
      <c r="D84" s="54">
        <v>4480</v>
      </c>
      <c r="E84" s="54">
        <v>3920</v>
      </c>
      <c r="F84" s="54">
        <v>560</v>
      </c>
      <c r="G84" s="54">
        <v>2800</v>
      </c>
      <c r="H84" s="54">
        <v>1120</v>
      </c>
    </row>
    <row r="85" spans="1:8">
      <c r="A85" s="53" t="inlineStr">
        <is>
          <t>2026-09-03</t>
        </is>
      </c>
      <c r="B85" s="53" t="inlineStr">
        <is>
          <t>DDN-352</t>
        </is>
      </c>
      <c r="C85" s="53" t="inlineStr">
        <is>
          <t>DDN-352</t>
        </is>
      </c>
      <c r="D85" s="54">
        <v>4535</v>
      </c>
      <c r="E85" s="54">
        <v>3968.13</v>
      </c>
      <c r="F85" s="54">
        <v>566.88</v>
      </c>
      <c r="G85" s="54">
        <v>800</v>
      </c>
      <c r="H85" s="54">
        <v>3168.13</v>
      </c>
    </row>
    <row r="86" spans="1:8">
      <c r="A86" s="53" t="inlineStr">
        <is>
          <t>2026-09-03</t>
        </is>
      </c>
      <c r="B86" s="53" t="inlineStr">
        <is>
          <t>DDN-351</t>
        </is>
      </c>
      <c r="C86" s="53" t="inlineStr">
        <is>
          <t>DDN-351</t>
        </is>
      </c>
      <c r="D86" s="54">
        <v>9875</v>
      </c>
      <c r="E86" s="54">
        <v>8640.63</v>
      </c>
      <c r="F86" s="54">
        <v>1234.38</v>
      </c>
      <c r="G86" s="54">
        <v>2400</v>
      </c>
      <c r="H86" s="54">
        <v>6240.63</v>
      </c>
    </row>
    <row r="87" spans="1:8">
      <c r="A87" s="53" t="inlineStr">
        <is>
          <t>2026-09-03</t>
        </is>
      </c>
      <c r="B87" s="53" t="inlineStr">
        <is>
          <t>DDN-1759</t>
        </is>
      </c>
      <c r="C87" s="53" t="inlineStr">
        <is>
          <t>DDN-1759</t>
        </is>
      </c>
      <c r="D87" s="54">
        <v>3794</v>
      </c>
      <c r="E87" s="54">
        <v>3319.75</v>
      </c>
      <c r="F87" s="54">
        <v>474.25</v>
      </c>
      <c r="G87" s="54">
        <v>2400</v>
      </c>
      <c r="H87" s="54">
        <v>919.75</v>
      </c>
    </row>
    <row r="88" spans="1:8">
      <c r="A88" s="53" t="inlineStr">
        <is>
          <t>2026-09-03</t>
        </is>
      </c>
      <c r="B88" s="53" t="inlineStr">
        <is>
          <t>DDN-1757</t>
        </is>
      </c>
      <c r="C88" s="53" t="inlineStr">
        <is>
          <t>DDN-1757</t>
        </is>
      </c>
      <c r="D88" s="54">
        <v>4050</v>
      </c>
      <c r="E88" s="54">
        <v>3543.75</v>
      </c>
      <c r="F88" s="54">
        <v>506.25</v>
      </c>
      <c r="G88" s="54">
        <v>1600</v>
      </c>
      <c r="H88" s="54">
        <v>1943.75</v>
      </c>
    </row>
    <row r="89" spans="1:8">
      <c r="A89" s="53" t="inlineStr">
        <is>
          <t>2026-09-03</t>
        </is>
      </c>
      <c r="B89" s="53" t="inlineStr">
        <is>
          <t>DDN-429</t>
        </is>
      </c>
      <c r="C89" s="53" t="inlineStr">
        <is>
          <t>DDN-429</t>
        </is>
      </c>
      <c r="D89" s="54">
        <v>3364</v>
      </c>
      <c r="E89" s="54">
        <v>2943.5</v>
      </c>
      <c r="F89" s="54">
        <v>420.5</v>
      </c>
      <c r="G89" s="54">
        <v>2000</v>
      </c>
      <c r="H89" s="54">
        <v>943.5</v>
      </c>
    </row>
    <row r="90" spans="1:8">
      <c r="A90" s="53" t="inlineStr">
        <is>
          <t>2026-09-03</t>
        </is>
      </c>
      <c r="B90" s="53" t="inlineStr">
        <is>
          <t>DDN-1823</t>
        </is>
      </c>
      <c r="C90" s="53" t="inlineStr">
        <is>
          <t>DDN-1823</t>
        </is>
      </c>
      <c r="D90" s="54">
        <v>1674</v>
      </c>
      <c r="E90" s="54">
        <v>1464.75</v>
      </c>
      <c r="F90" s="54">
        <v>209.25</v>
      </c>
      <c r="G90" s="54">
        <v>0</v>
      </c>
      <c r="H90" s="54">
        <v>1464.75</v>
      </c>
    </row>
    <row r="91" spans="1:8">
      <c r="A91" s="53" t="inlineStr">
        <is>
          <t>2026-09-03</t>
        </is>
      </c>
      <c r="B91" s="53" t="inlineStr">
        <is>
          <t>DDN-350</t>
        </is>
      </c>
      <c r="C91" s="53" t="inlineStr">
        <is>
          <t>DDN-350</t>
        </is>
      </c>
      <c r="D91" s="54">
        <v>15205</v>
      </c>
      <c r="E91" s="54">
        <v>13304.38</v>
      </c>
      <c r="F91" s="54">
        <v>1900.63</v>
      </c>
      <c r="G91" s="54">
        <v>3600</v>
      </c>
      <c r="H91" s="54">
        <v>9704.38</v>
      </c>
    </row>
    <row r="92" spans="1:8">
      <c r="A92" s="53" t="inlineStr">
        <is>
          <t>2026-09-03</t>
        </is>
      </c>
      <c r="B92" s="53" t="inlineStr">
        <is>
          <t>DDN-1424</t>
        </is>
      </c>
      <c r="C92" s="53" t="inlineStr">
        <is>
          <t>DDN-1424</t>
        </is>
      </c>
      <c r="D92" s="54">
        <v>12825</v>
      </c>
      <c r="E92" s="54">
        <v>11221.88</v>
      </c>
      <c r="F92" s="54">
        <v>1603.13</v>
      </c>
      <c r="G92" s="54">
        <v>2400</v>
      </c>
      <c r="H92" s="54">
        <v>8821.88</v>
      </c>
    </row>
    <row r="93" spans="1:8">
      <c r="A93" s="53" t="inlineStr">
        <is>
          <t>2026-09-03</t>
        </is>
      </c>
      <c r="B93" s="53" t="inlineStr">
        <is>
          <t>DDN-1631</t>
        </is>
      </c>
      <c r="C93" s="53" t="inlineStr">
        <is>
          <t>DDN-1631</t>
        </is>
      </c>
      <c r="D93" s="54">
        <v>2640</v>
      </c>
      <c r="E93" s="54">
        <v>2310</v>
      </c>
      <c r="F93" s="54">
        <v>330</v>
      </c>
      <c r="G93" s="54">
        <v>0</v>
      </c>
      <c r="H93" s="54">
        <v>2310</v>
      </c>
    </row>
    <row r="94" spans="1:8">
      <c r="A94" s="53" t="inlineStr">
        <is>
          <t>2026-09-03</t>
        </is>
      </c>
      <c r="B94" s="53" t="inlineStr">
        <is>
          <t>DDN-1778</t>
        </is>
      </c>
      <c r="C94" s="53" t="inlineStr">
        <is>
          <t>DDN-1778</t>
        </is>
      </c>
      <c r="D94" s="54">
        <v>1995</v>
      </c>
      <c r="E94" s="54">
        <v>1745.63</v>
      </c>
      <c r="F94" s="54">
        <v>249.38</v>
      </c>
      <c r="G94" s="54">
        <v>0</v>
      </c>
      <c r="H94" s="54">
        <v>1745.63</v>
      </c>
    </row>
    <row r="95" spans="1:8">
      <c r="A95" s="53" t="inlineStr">
        <is>
          <t>2026-09-03</t>
        </is>
      </c>
      <c r="B95" s="53" t="inlineStr">
        <is>
          <t>DDN-1782</t>
        </is>
      </c>
      <c r="C95" s="53" t="inlineStr">
        <is>
          <t>DDN-1782</t>
        </is>
      </c>
      <c r="D95" s="54">
        <v>1400</v>
      </c>
      <c r="E95" s="54">
        <v>1225</v>
      </c>
      <c r="F95" s="54">
        <v>175</v>
      </c>
      <c r="G95" s="54">
        <v>0</v>
      </c>
      <c r="H95" s="54">
        <v>1225</v>
      </c>
    </row>
    <row r="96" spans="1:8">
      <c r="A96" s="53" t="inlineStr">
        <is>
          <t>2026-09-03</t>
        </is>
      </c>
      <c r="B96" s="53" t="inlineStr">
        <is>
          <t>DDN-1758</t>
        </is>
      </c>
      <c r="C96" s="53" t="inlineStr">
        <is>
          <t>DDN-1758</t>
        </is>
      </c>
      <c r="D96" s="54">
        <v>1640</v>
      </c>
      <c r="E96" s="54">
        <v>1435</v>
      </c>
      <c r="F96" s="54">
        <v>205</v>
      </c>
      <c r="G96" s="54">
        <v>800</v>
      </c>
      <c r="H96" s="54">
        <v>635</v>
      </c>
    </row>
    <row r="97" spans="1:8">
      <c r="A97" s="53" t="inlineStr">
        <is>
          <t>2026-09-03</t>
        </is>
      </c>
      <c r="B97" s="53" t="inlineStr">
        <is>
          <t>DDN-1294</t>
        </is>
      </c>
      <c r="C97" s="53" t="inlineStr">
        <is>
          <t>DDN-1294</t>
        </is>
      </c>
      <c r="D97" s="54">
        <v>3687</v>
      </c>
      <c r="E97" s="54">
        <v>3226.13</v>
      </c>
      <c r="F97" s="54">
        <v>460.88</v>
      </c>
      <c r="G97" s="54">
        <v>0</v>
      </c>
      <c r="H97" s="54">
        <v>3226.13</v>
      </c>
    </row>
    <row r="98" spans="1:8">
      <c r="A98" s="53" t="inlineStr">
        <is>
          <t>2026-09-03</t>
        </is>
      </c>
      <c r="B98" s="53" t="inlineStr">
        <is>
          <t>DDN-771</t>
        </is>
      </c>
      <c r="C98" s="53" t="inlineStr">
        <is>
          <t>DDN-771</t>
        </is>
      </c>
      <c r="D98" s="54">
        <v>10890</v>
      </c>
      <c r="E98" s="54">
        <v>9528.75</v>
      </c>
      <c r="F98" s="54">
        <v>1361.25</v>
      </c>
      <c r="G98" s="54">
        <v>4800</v>
      </c>
      <c r="H98" s="54">
        <v>4728.75</v>
      </c>
    </row>
    <row r="99" spans="1:8">
      <c r="A99" s="53" t="inlineStr">
        <is>
          <t>2026-09-03</t>
        </is>
      </c>
      <c r="B99" s="53" t="inlineStr">
        <is>
          <t>DDN-1780</t>
        </is>
      </c>
      <c r="C99" s="53" t="inlineStr">
        <is>
          <t>DDN-1780</t>
        </is>
      </c>
      <c r="D99" s="54">
        <v>2860</v>
      </c>
      <c r="E99" s="54">
        <v>2502.5</v>
      </c>
      <c r="F99" s="54">
        <v>357.5</v>
      </c>
      <c r="G99" s="54">
        <v>0</v>
      </c>
      <c r="H99" s="54">
        <v>2502.5</v>
      </c>
    </row>
    <row r="100" spans="1:8">
      <c r="A100" s="53" t="inlineStr">
        <is>
          <t>2026-09-03</t>
        </is>
      </c>
      <c r="B100" s="53" t="inlineStr">
        <is>
          <t>DDN-1586</t>
        </is>
      </c>
      <c r="C100" s="53" t="inlineStr">
        <is>
          <t>DDN-1586</t>
        </is>
      </c>
      <c r="D100" s="54">
        <v>5040</v>
      </c>
      <c r="E100" s="54">
        <v>4410</v>
      </c>
      <c r="F100" s="54">
        <v>630</v>
      </c>
      <c r="G100" s="54">
        <v>4200</v>
      </c>
      <c r="H100" s="54">
        <v>210</v>
      </c>
    </row>
    <row r="101" spans="1:8">
      <c r="A101" s="53" t="inlineStr">
        <is>
          <t>2026-09-03</t>
        </is>
      </c>
      <c r="B101" s="53" t="inlineStr">
        <is>
          <t>DDN-1300</t>
        </is>
      </c>
      <c r="C101" s="53" t="inlineStr">
        <is>
          <t>DDN-1300</t>
        </is>
      </c>
      <c r="D101" s="54">
        <v>2462</v>
      </c>
      <c r="E101" s="54">
        <v>2154.25</v>
      </c>
      <c r="F101" s="54">
        <v>307.75</v>
      </c>
      <c r="G101" s="54">
        <v>800</v>
      </c>
      <c r="H101" s="54">
        <v>1354.25</v>
      </c>
    </row>
    <row r="102" spans="1:8">
      <c r="A102" s="53" t="inlineStr">
        <is>
          <t>2026-09-03</t>
        </is>
      </c>
      <c r="B102" s="53" t="inlineStr">
        <is>
          <t>DDN-1422</t>
        </is>
      </c>
      <c r="C102" s="53" t="inlineStr">
        <is>
          <t>DDN-1422</t>
        </is>
      </c>
      <c r="D102" s="54">
        <v>5123</v>
      </c>
      <c r="E102" s="54">
        <v>4482.63</v>
      </c>
      <c r="F102" s="54">
        <v>640.38</v>
      </c>
      <c r="G102" s="54">
        <v>2400</v>
      </c>
      <c r="H102" s="54">
        <v>2082.63</v>
      </c>
    </row>
    <row r="103" spans="1:8">
      <c r="A103" s="53" t="inlineStr">
        <is>
          <t>2026-09-03</t>
        </is>
      </c>
      <c r="B103" s="53" t="inlineStr">
        <is>
          <t>DDN-776</t>
        </is>
      </c>
      <c r="C103" s="53" t="inlineStr">
        <is>
          <t>DDN-776</t>
        </is>
      </c>
      <c r="D103" s="54">
        <v>11105</v>
      </c>
      <c r="E103" s="54">
        <v>9716.88</v>
      </c>
      <c r="F103" s="54">
        <v>1388.13</v>
      </c>
      <c r="G103" s="54">
        <v>600</v>
      </c>
      <c r="H103" s="54">
        <v>9116.88</v>
      </c>
    </row>
    <row r="104" spans="1:8">
      <c r="A104" s="53" t="inlineStr">
        <is>
          <t>2026-09-03</t>
        </is>
      </c>
      <c r="B104" s="53" t="inlineStr">
        <is>
          <t>DDN-909</t>
        </is>
      </c>
      <c r="C104" s="53" t="inlineStr">
        <is>
          <t>DDN-909</t>
        </is>
      </c>
      <c r="D104" s="54">
        <v>5940</v>
      </c>
      <c r="E104" s="54">
        <v>5197.5</v>
      </c>
      <c r="F104" s="54">
        <v>742.5</v>
      </c>
      <c r="G104" s="54">
        <v>400</v>
      </c>
      <c r="H104" s="54">
        <v>4797.5</v>
      </c>
    </row>
    <row r="105" spans="1:8">
      <c r="A105" s="53" t="inlineStr">
        <is>
          <t>2026-09-03</t>
        </is>
      </c>
      <c r="B105" s="53" t="inlineStr">
        <is>
          <t>DDN-764</t>
        </is>
      </c>
      <c r="C105" s="53" t="inlineStr">
        <is>
          <t>DDN-764</t>
        </is>
      </c>
      <c r="D105" s="54">
        <v>11275</v>
      </c>
      <c r="E105" s="54">
        <v>9865.63</v>
      </c>
      <c r="F105" s="54">
        <v>1409.38</v>
      </c>
      <c r="G105" s="54">
        <v>0</v>
      </c>
      <c r="H105" s="54">
        <v>9865.63</v>
      </c>
    </row>
    <row r="106" spans="1:8">
      <c r="A106" s="53" t="inlineStr">
        <is>
          <t>2026-09-03</t>
        </is>
      </c>
      <c r="B106" s="53" t="inlineStr">
        <is>
          <t>DDN-425</t>
        </is>
      </c>
      <c r="C106" s="53" t="inlineStr">
        <is>
          <t>DDN-425</t>
        </is>
      </c>
      <c r="D106" s="54">
        <v>10799</v>
      </c>
      <c r="E106" s="54">
        <v>9449.13</v>
      </c>
      <c r="F106" s="54">
        <v>1349.88</v>
      </c>
      <c r="G106" s="54">
        <v>5200</v>
      </c>
      <c r="H106" s="54">
        <v>4249.13</v>
      </c>
    </row>
    <row r="107" spans="1:8">
      <c r="A107" s="53" t="inlineStr">
        <is>
          <t>2026-09-03</t>
        </is>
      </c>
      <c r="B107" s="53" t="inlineStr">
        <is>
          <t>DDN-1308</t>
        </is>
      </c>
      <c r="C107" s="53" t="inlineStr">
        <is>
          <t>DDN-1308</t>
        </is>
      </c>
      <c r="D107" s="54">
        <v>5355</v>
      </c>
      <c r="E107" s="54">
        <v>4685.63</v>
      </c>
      <c r="F107" s="54">
        <v>669.38</v>
      </c>
      <c r="G107" s="54">
        <v>0</v>
      </c>
      <c r="H107" s="54">
        <v>4685.63</v>
      </c>
    </row>
    <row r="108" spans="1:8">
      <c r="A108" s="53" t="inlineStr">
        <is>
          <t>2026-09-03</t>
        </is>
      </c>
      <c r="B108" s="53" t="inlineStr">
        <is>
          <t>DDN-1797</t>
        </is>
      </c>
      <c r="C108" s="53" t="inlineStr">
        <is>
          <t>DDN-1797</t>
        </is>
      </c>
      <c r="D108" s="54">
        <v>4440</v>
      </c>
      <c r="E108" s="54">
        <v>3885</v>
      </c>
      <c r="F108" s="54">
        <v>555</v>
      </c>
      <c r="G108" s="54">
        <v>1600</v>
      </c>
      <c r="H108" s="54">
        <v>2285</v>
      </c>
    </row>
    <row r="109" spans="1:8">
      <c r="A109" s="53" t="inlineStr">
        <is>
          <t>2026-09-03</t>
        </is>
      </c>
      <c r="B109" s="53" t="inlineStr">
        <is>
          <t>DDN-1284</t>
        </is>
      </c>
      <c r="C109" s="53" t="inlineStr">
        <is>
          <t>DDN-1284</t>
        </is>
      </c>
      <c r="D109" s="54">
        <v>3600</v>
      </c>
      <c r="E109" s="54">
        <v>3150</v>
      </c>
      <c r="F109" s="54">
        <v>450</v>
      </c>
      <c r="G109" s="54">
        <v>0</v>
      </c>
      <c r="H109" s="54">
        <v>3150</v>
      </c>
    </row>
    <row r="110" spans="1:8">
      <c r="A110" s="53" t="inlineStr">
        <is>
          <t>2026-09-03</t>
        </is>
      </c>
      <c r="B110" s="53" t="inlineStr">
        <is>
          <t>DDN-758</t>
        </is>
      </c>
      <c r="C110" s="53" t="inlineStr">
        <is>
          <t>DDN-758</t>
        </is>
      </c>
      <c r="D110" s="54">
        <v>8506</v>
      </c>
      <c r="E110" s="54">
        <v>7442.75</v>
      </c>
      <c r="F110" s="54">
        <v>1063.25</v>
      </c>
      <c r="G110" s="54">
        <v>6800</v>
      </c>
      <c r="H110" s="54">
        <v>642.75</v>
      </c>
    </row>
    <row r="111" spans="1:8">
      <c r="A111" s="53" t="inlineStr">
        <is>
          <t>2026-09-03</t>
        </is>
      </c>
      <c r="B111" s="53" t="inlineStr">
        <is>
          <t>DDN-1752</t>
        </is>
      </c>
      <c r="C111" s="53" t="inlineStr">
        <is>
          <t>DDN-1752</t>
        </is>
      </c>
      <c r="D111" s="54">
        <v>2460</v>
      </c>
      <c r="E111" s="54">
        <v>2152.5</v>
      </c>
      <c r="F111" s="54">
        <v>307.5</v>
      </c>
      <c r="G111" s="54">
        <v>0</v>
      </c>
      <c r="H111" s="54">
        <v>2152.5</v>
      </c>
    </row>
    <row r="112" spans="1:8">
      <c r="A112" s="53" t="inlineStr">
        <is>
          <t>2026-09-03</t>
        </is>
      </c>
      <c r="B112" s="53" t="inlineStr">
        <is>
          <t>DDN-1288</t>
        </is>
      </c>
      <c r="C112" s="53" t="inlineStr">
        <is>
          <t>DDN-1288</t>
        </is>
      </c>
      <c r="D112" s="54">
        <v>12007</v>
      </c>
      <c r="E112" s="54">
        <v>10506.13</v>
      </c>
      <c r="F112" s="54">
        <v>1500.88</v>
      </c>
      <c r="G112" s="54">
        <v>7200</v>
      </c>
      <c r="H112" s="54">
        <v>3306.13</v>
      </c>
    </row>
    <row r="113" spans="1:8">
      <c r="A113" s="53" t="inlineStr">
        <is>
          <t>2026-09-03</t>
        </is>
      </c>
      <c r="B113" s="53" t="inlineStr">
        <is>
          <t>DDN-1779</t>
        </is>
      </c>
      <c r="C113" s="53" t="inlineStr">
        <is>
          <t>DDN-1779</t>
        </is>
      </c>
      <c r="D113" s="54">
        <v>3971</v>
      </c>
      <c r="E113" s="54">
        <v>3474.63</v>
      </c>
      <c r="F113" s="54">
        <v>496.38</v>
      </c>
      <c r="G113" s="54">
        <v>0</v>
      </c>
      <c r="H113" s="54">
        <v>3474.63</v>
      </c>
    </row>
    <row r="114" spans="1:8">
      <c r="A114" s="53" t="inlineStr">
        <is>
          <t>2026-09-03</t>
        </is>
      </c>
      <c r="B114" s="53" t="inlineStr">
        <is>
          <t>DDN-398</t>
        </is>
      </c>
      <c r="C114" s="53" t="inlineStr">
        <is>
          <t>DDN-398</t>
        </is>
      </c>
      <c r="D114" s="54">
        <v>12925</v>
      </c>
      <c r="E114" s="54">
        <v>11309.38</v>
      </c>
      <c r="F114" s="54">
        <v>1615.63</v>
      </c>
      <c r="G114" s="54">
        <v>2800</v>
      </c>
      <c r="H114" s="54">
        <v>8509.38</v>
      </c>
    </row>
    <row r="115" spans="1:8">
      <c r="A115" s="53" t="inlineStr">
        <is>
          <t>2026-09-03</t>
        </is>
      </c>
      <c r="B115" s="53" t="inlineStr">
        <is>
          <t>DDN-1784</t>
        </is>
      </c>
      <c r="C115" s="53" t="inlineStr">
        <is>
          <t>DDN-1784</t>
        </is>
      </c>
      <c r="D115" s="54">
        <v>3999</v>
      </c>
      <c r="E115" s="54">
        <v>3499.13</v>
      </c>
      <c r="F115" s="54">
        <v>499.88</v>
      </c>
      <c r="G115" s="54">
        <v>0</v>
      </c>
      <c r="H115" s="54">
        <v>3499.13</v>
      </c>
    </row>
    <row r="116" spans="1:8">
      <c r="A116" s="53" t="inlineStr">
        <is>
          <t>2026-09-03</t>
        </is>
      </c>
      <c r="B116" s="53" t="inlineStr">
        <is>
          <t>DDN-1634</t>
        </is>
      </c>
      <c r="C116" s="53" t="inlineStr">
        <is>
          <t>DDN-1634</t>
        </is>
      </c>
      <c r="D116" s="54">
        <v>5420</v>
      </c>
      <c r="E116" s="54">
        <v>4742.5</v>
      </c>
      <c r="F116" s="54">
        <v>677.5</v>
      </c>
      <c r="G116" s="54">
        <v>0</v>
      </c>
      <c r="H116" s="54">
        <v>4742.5</v>
      </c>
    </row>
    <row r="117" spans="1:8">
      <c r="A117" s="53" t="inlineStr">
        <is>
          <t>2026-09-03</t>
        </is>
      </c>
      <c r="B117" s="53" t="inlineStr">
        <is>
          <t>DDN-1476</t>
        </is>
      </c>
      <c r="C117" s="53" t="inlineStr">
        <is>
          <t>DDN-1476</t>
        </is>
      </c>
      <c r="D117" s="54">
        <v>7053</v>
      </c>
      <c r="E117" s="54">
        <v>6171.38</v>
      </c>
      <c r="F117" s="54">
        <v>881.63</v>
      </c>
      <c r="G117" s="54">
        <v>2000</v>
      </c>
      <c r="H117" s="54">
        <v>4171.38</v>
      </c>
    </row>
  </sheetData>
  <pageMargins left="0.7" right="0.7" top="0.75" bottom="0.75" header="0.511811023622047" footer="0.511811023622047"/>
  <pageSetup paperSize="9" orientation="portrait" horizontalDpi="300" verticalDpi="300"/>
  <ignoredErrors>
    <ignoredError sqref="D123:H12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tabSelected="1" zoomScale="77" zoomScaleNormal="85" workbookViewId="0">
      <selection activeCell="H43" sqref="H43"/>
    </sheetView>
  </sheetViews>
  <sheetFormatPr defaultColWidth="8.5" defaultRowHeight="14.25"/>
  <cols>
    <col min="1" max="1" width="23.875" style="57" bestFit="1" customWidth="1"/>
    <col min="2" max="2" width="21.125" style="57" customWidth="1"/>
    <col min="3" max="3" width="35.625" style="57" customWidth="1"/>
  </cols>
  <sheetData>
    <row r="1" spans="1:3" ht="27.75" customHeight="1">
      <c r="A1" s="99" t="s">
        <v>213</v>
      </c>
      <c r="B1" s="99"/>
      <c r="C1" s="94">
        <f>Sheet1!E1</f>
        <v>46268</v>
      </c>
    </row>
    <row r="2" spans="1:3" ht="15">
      <c r="A2" s="58" t="s">
        <v>197</v>
      </c>
      <c r="B2" s="59">
        <v>3000</v>
      </c>
      <c r="C2" s="60" t="s">
        <v>147</v>
      </c>
    </row>
    <row r="3" spans="1:3" ht="18" customHeight="1">
      <c r="A3" s="98" t="s">
        <v>148</v>
      </c>
      <c r="B3" s="98"/>
      <c r="C3" s="98"/>
    </row>
    <row r="4" spans="1:3" ht="18" customHeight="1">
      <c r="A4" s="61" t="s">
        <v>71</v>
      </c>
      <c r="B4" s="61" t="s">
        <v>73</v>
      </c>
      <c r="C4" s="61" t="s">
        <v>149</v>
      </c>
    </row>
    <row r="5" spans="1:3">
      <c r="A5" s="62" t="str">
        <f t="array" ref="A5">IFERROR(INDEX('EOD - SEPTEMBER 3, 2026'!$B$2:$B$10010,SMALL(IF('EOD - SEPTEMBER 3, 2026'!$D$2:$D$10010&lt;$B$2,ROW('EOD - SEPTEMBER 3, 2026'!$D$2:$D$10010)-ROW('EOD - SEPTEMBER 3, 2026'!$D$2)+1),1)),"")</f>
        <v>DDN-768</v>
      </c>
      <c r="B5" s="63">
        <f t="array" ref="B5">IFERROR(INDEX('EOD - SEPTEMBER 3, 2026'!$D$2:$D$10010,SMALL(IF('EOD - SEPTEMBER 3, 2026'!$D$2:$D$10010&lt;$B$2,ROW('EOD - SEPTEMBER 3, 2026'!$D$2:$D$10010)-ROW('EOD - SEPTEMBER 3, 2026'!$D$2)+1),1)),"")</f>
        <v>2870</v>
      </c>
      <c r="C5" s="62" t="str">
        <f t="shared" ref="C5:C36" si="0">IF(B5="","",IF(B5&lt;1000,"🔴 Critical",IF(B5&lt;2000,"🟠 Very Low","🟡 Low")))</f>
        <v>🟡 Low</v>
      </c>
    </row>
    <row r="6" spans="1:3">
      <c r="A6" s="64" t="str">
        <f t="array" ref="A6">IFERROR(INDEX('EOD - SEPTEMBER 3, 2026'!$B$2:$B$10010,SMALL(IF('EOD - SEPTEMBER 3, 2026'!$D$2:$D$10010&lt;$B$2,ROW('EOD - SEPTEMBER 3, 2026'!$D$2:$D$10010)-ROW('EOD - SEPTEMBER 3, 2026'!$D$2)+1),2)),"")</f>
        <v>DDN-1765</v>
      </c>
      <c r="B6" s="65">
        <f t="array" ref="B6">IFERROR(INDEX('EOD - SEPTEMBER 3, 2026'!$D$2:$D$10010,SMALL(IF('EOD - SEPTEMBER 3, 2026'!$D$2:$D$10010&lt;$B$2,ROW('EOD - SEPTEMBER 3, 2026'!$D$2:$D$10010)-ROW('EOD - SEPTEMBER 3, 2026'!$D$2)+1),2)),"")</f>
        <v>1764</v>
      </c>
      <c r="C6" s="64" t="str">
        <f t="shared" si="0"/>
        <v>🟠 Very Low</v>
      </c>
    </row>
    <row r="7" spans="1:3">
      <c r="A7" s="62" t="str">
        <f t="array" ref="A7">IFERROR(INDEX('EOD - SEPTEMBER 3, 2026'!$B$2:$B$10010,SMALL(IF('EOD - SEPTEMBER 3, 2026'!$D$2:$D$10010&lt;$B$2,ROW('EOD - SEPTEMBER 3, 2026'!$D$2:$D$10010)-ROW('EOD - SEPTEMBER 3, 2026'!$D$2)+1),3)),"")</f>
        <v>DDN-1783</v>
      </c>
      <c r="B7" s="63">
        <f t="array" ref="B7">IFERROR(INDEX('EOD - SEPTEMBER 3, 2026'!$D$2:$D$10010,SMALL(IF('EOD - SEPTEMBER 3, 2026'!$D$2:$D$10010&lt;$B$2,ROW('EOD - SEPTEMBER 3, 2026'!$D$2:$D$10010)-ROW('EOD - SEPTEMBER 3, 2026'!$D$2)+1),3)),"")</f>
        <v>2368</v>
      </c>
      <c r="C7" s="62" t="str">
        <f t="shared" si="0"/>
        <v>🟡 Low</v>
      </c>
    </row>
    <row r="8" spans="1:3">
      <c r="A8" s="64" t="str">
        <f t="array" ref="A8">IFERROR(INDEX('EOD - SEPTEMBER 3, 2026'!$B$2:$B$10010,SMALL(IF('EOD - SEPTEMBER 3, 2026'!$D$2:$D$10010&lt;$B$2,ROW('EOD - SEPTEMBER 3, 2026'!$D$2:$D$10010)-ROW('EOD - SEPTEMBER 3, 2026'!$D$2)+1),4)),"")</f>
        <v>DDN-1738</v>
      </c>
      <c r="B8" s="65">
        <f t="array" ref="B8">IFERROR(INDEX('EOD - SEPTEMBER 3, 2026'!$D$2:$D$10010,SMALL(IF('EOD - SEPTEMBER 3, 2026'!$D$2:$D$10010&lt;$B$2,ROW('EOD - SEPTEMBER 3, 2026'!$D$2:$D$10010)-ROW('EOD - SEPTEMBER 3, 2026'!$D$2)+1),4)),"")</f>
        <v>1794</v>
      </c>
      <c r="C8" s="64" t="str">
        <f t="shared" si="0"/>
        <v>🟠 Very Low</v>
      </c>
    </row>
    <row r="9" spans="1:3">
      <c r="A9" s="62" t="str">
        <f t="array" ref="A9">IFERROR(INDEX('EOD - SEPTEMBER 3, 2026'!$B$2:$B$10010,SMALL(IF('EOD - SEPTEMBER 3, 2026'!$D$2:$D$10010&lt;$B$2,ROW('EOD - SEPTEMBER 3, 2026'!$D$2:$D$10010)-ROW('EOD - SEPTEMBER 3, 2026'!$D$2)+1),5)),"")</f>
        <v>DDN-1716</v>
      </c>
      <c r="B9" s="63">
        <f t="array" ref="B9">IFERROR(INDEX('EOD - SEPTEMBER 3, 2026'!$D$2:$D$10010,SMALL(IF('EOD - SEPTEMBER 3, 2026'!$D$2:$D$10010&lt;$B$2,ROW('EOD - SEPTEMBER 3, 2026'!$D$2:$D$10010)-ROW('EOD - SEPTEMBER 3, 2026'!$D$2)+1),5)),"")</f>
        <v>1180</v>
      </c>
      <c r="C9" s="62" t="str">
        <f t="shared" si="0"/>
        <v>🟠 Very Low</v>
      </c>
    </row>
    <row r="10" spans="1:3">
      <c r="A10" s="64" t="str">
        <f t="array" ref="A10">IFERROR(INDEX('EOD - SEPTEMBER 3, 2026'!$B$2:$B$10010,SMALL(IF('EOD - SEPTEMBER 3, 2026'!$D$2:$D$10010&lt;$B$2,ROW('EOD - SEPTEMBER 3, 2026'!$D$2:$D$10010)-ROW('EOD - SEPTEMBER 3, 2026'!$D$2)+1),6)),"")</f>
        <v>DDN-1296</v>
      </c>
      <c r="B10" s="65">
        <f t="array" ref="B10">IFERROR(INDEX('EOD - SEPTEMBER 3, 2026'!$D$2:$D$10010,SMALL(IF('EOD - SEPTEMBER 3, 2026'!$D$2:$D$10010&lt;$B$2,ROW('EOD - SEPTEMBER 3, 2026'!$D$2:$D$10010)-ROW('EOD - SEPTEMBER 3, 2026'!$D$2)+1),6)),"")</f>
        <v>2775</v>
      </c>
      <c r="C10" s="64" t="str">
        <f t="shared" si="0"/>
        <v>🟡 Low</v>
      </c>
    </row>
    <row r="11" spans="1:3">
      <c r="A11" s="62" t="str">
        <f t="array" ref="A11">IFERROR(INDEX('EOD - SEPTEMBER 3, 2026'!$B$2:$B$10010,SMALL(IF('EOD - SEPTEMBER 3, 2026'!$D$2:$D$10010&lt;$B$2,ROW('EOD - SEPTEMBER 3, 2026'!$D$2:$D$10010)-ROW('EOD - SEPTEMBER 3, 2026'!$D$2)+1),7)),"")</f>
        <v>DDN-1801</v>
      </c>
      <c r="B11" s="63">
        <f t="array" ref="B11">IFERROR(INDEX('EOD - SEPTEMBER 3, 2026'!$D$2:$D$10010,SMALL(IF('EOD - SEPTEMBER 3, 2026'!$D$2:$D$10010&lt;$B$2,ROW('EOD - SEPTEMBER 3, 2026'!$D$2:$D$10010)-ROW('EOD - SEPTEMBER 3, 2026'!$D$2)+1),7)),"")</f>
        <v>1115</v>
      </c>
      <c r="C11" s="62" t="str">
        <f t="shared" si="0"/>
        <v>🟠 Very Low</v>
      </c>
    </row>
    <row r="12" spans="1:3">
      <c r="A12" s="64" t="str">
        <f t="array" ref="A12">IFERROR(INDEX('EOD - SEPTEMBER 3, 2026'!$B$2:$B$10010,SMALL(IF('EOD - SEPTEMBER 3, 2026'!$D$2:$D$10010&lt;$B$2,ROW('EOD - SEPTEMBER 3, 2026'!$D$2:$D$10010)-ROW('EOD - SEPTEMBER 3, 2026'!$D$2)+1),8)),"")</f>
        <v>DDN-1743</v>
      </c>
      <c r="B12" s="65">
        <f t="array" ref="B12">IFERROR(INDEX('EOD - SEPTEMBER 3, 2026'!$D$2:$D$10010,SMALL(IF('EOD - SEPTEMBER 3, 2026'!$D$2:$D$10010&lt;$B$2,ROW('EOD - SEPTEMBER 3, 2026'!$D$2:$D$10010)-ROW('EOD - SEPTEMBER 3, 2026'!$D$2)+1),8)),"")</f>
        <v>1428</v>
      </c>
      <c r="C12" s="64" t="str">
        <f t="shared" si="0"/>
        <v>🟠 Very Low</v>
      </c>
    </row>
    <row r="13" spans="1:3">
      <c r="A13" s="62" t="str">
        <f t="array" ref="A13">IFERROR(INDEX('EOD - SEPTEMBER 3, 2026'!$B$2:$B$10010,SMALL(IF('EOD - SEPTEMBER 3, 2026'!$D$2:$D$10010&lt;$B$2,ROW('EOD - SEPTEMBER 3, 2026'!$D$2:$D$10010)-ROW('EOD - SEPTEMBER 3, 2026'!$D$2)+1),9)),"")</f>
        <v>DDN-1737</v>
      </c>
      <c r="B13" s="63">
        <f t="array" ref="B13">IFERROR(INDEX('EOD - SEPTEMBER 3, 2026'!$D$2:$D$10010,SMALL(IF('EOD - SEPTEMBER 3, 2026'!$D$2:$D$10010&lt;$B$2,ROW('EOD - SEPTEMBER 3, 2026'!$D$2:$D$10010)-ROW('EOD - SEPTEMBER 3, 2026'!$D$2)+1),9)),"")</f>
        <v>2660</v>
      </c>
      <c r="C13" s="62" t="str">
        <f t="shared" si="0"/>
        <v>🟡 Low</v>
      </c>
    </row>
    <row r="14" spans="1:3">
      <c r="A14" s="64" t="str">
        <f t="array" ref="A14">IFERROR(INDEX('EOD - SEPTEMBER 3, 2026'!$B$2:$B$10010,SMALL(IF('EOD - SEPTEMBER 3, 2026'!$D$2:$D$10010&lt;$B$2,ROW('EOD - SEPTEMBER 3, 2026'!$D$2:$D$10010)-ROW('EOD - SEPTEMBER 3, 2026'!$D$2)+1),10)),"")</f>
        <v>DDN-765</v>
      </c>
      <c r="B14" s="65">
        <f t="array" ref="B14">IFERROR(INDEX('EOD - SEPTEMBER 3, 2026'!$D$2:$D$10010,SMALL(IF('EOD - SEPTEMBER 3, 2026'!$D$2:$D$10010&lt;$B$2,ROW('EOD - SEPTEMBER 3, 2026'!$D$2:$D$10010)-ROW('EOD - SEPTEMBER 3, 2026'!$D$2)+1),10)),"")</f>
        <v>2771</v>
      </c>
      <c r="C14" s="64" t="str">
        <f t="shared" si="0"/>
        <v>🟡 Low</v>
      </c>
    </row>
    <row r="15" spans="1:3">
      <c r="A15" s="62" t="str">
        <f t="array" ref="A15">IFERROR(INDEX('EOD - SEPTEMBER 3, 2026'!$B$2:$B$10010,SMALL(IF('EOD - SEPTEMBER 3, 2026'!$D$2:$D$10010&lt;$B$2,ROW('EOD - SEPTEMBER 3, 2026'!$D$2:$D$10010)-ROW('EOD - SEPTEMBER 3, 2026'!$D$2)+1),11)),"")</f>
        <v>DDN-1799</v>
      </c>
      <c r="B15" s="63">
        <f t="array" ref="B15">IFERROR(INDEX('EOD - SEPTEMBER 3, 2026'!$D$2:$D$10010,SMALL(IF('EOD - SEPTEMBER 3, 2026'!$D$2:$D$10010&lt;$B$2,ROW('EOD - SEPTEMBER 3, 2026'!$D$2:$D$10010)-ROW('EOD - SEPTEMBER 3, 2026'!$D$2)+1),11)),"")</f>
        <v>2207</v>
      </c>
      <c r="C15" s="62" t="str">
        <f t="shared" si="0"/>
        <v>🟡 Low</v>
      </c>
    </row>
    <row r="16" spans="1:3">
      <c r="A16" s="64" t="str">
        <f t="array" ref="A16">IFERROR(INDEX('EOD - SEPTEMBER 3, 2026'!$B$2:$B$10010,SMALL(IF('EOD - SEPTEMBER 3, 2026'!$D$2:$D$10010&lt;$B$2,ROW('EOD - SEPTEMBER 3, 2026'!$D$2:$D$10010)-ROW('EOD - SEPTEMBER 3, 2026'!$D$2)+1),12)),"")</f>
        <v>DDN-1802</v>
      </c>
      <c r="B16" s="65">
        <f t="array" ref="B16">IFERROR(INDEX('EOD - SEPTEMBER 3, 2026'!$D$2:$D$10010,SMALL(IF('EOD - SEPTEMBER 3, 2026'!$D$2:$D$10010&lt;$B$2,ROW('EOD - SEPTEMBER 3, 2026'!$D$2:$D$10010)-ROW('EOD - SEPTEMBER 3, 2026'!$D$2)+1),12)),"")</f>
        <v>1475</v>
      </c>
      <c r="C16" s="64" t="str">
        <f t="shared" si="0"/>
        <v>🟠 Very Low</v>
      </c>
    </row>
    <row r="17" spans="1:3">
      <c r="A17" s="62" t="str">
        <f t="array" ref="A17">IFERROR(INDEX('EOD - SEPTEMBER 3, 2026'!$B$2:$B$10010,SMALL(IF('EOD - SEPTEMBER 3, 2026'!$D$2:$D$10010&lt;$B$2,ROW('EOD - SEPTEMBER 3, 2026'!$D$2:$D$10010)-ROW('EOD - SEPTEMBER 3, 2026'!$D$2)+1),13)),"")</f>
        <v>DDN-1741</v>
      </c>
      <c r="B17" s="63">
        <f t="array" ref="B17">IFERROR(INDEX('EOD - SEPTEMBER 3, 2026'!$D$2:$D$10010,SMALL(IF('EOD - SEPTEMBER 3, 2026'!$D$2:$D$10010&lt;$B$2,ROW('EOD - SEPTEMBER 3, 2026'!$D$2:$D$10010)-ROW('EOD - SEPTEMBER 3, 2026'!$D$2)+1),13)),"")</f>
        <v>1470</v>
      </c>
      <c r="C17" s="62" t="str">
        <f t="shared" si="0"/>
        <v>🟠 Very Low</v>
      </c>
    </row>
    <row r="18" spans="1:3">
      <c r="A18" s="64" t="str">
        <f t="array" ref="A18">IFERROR(INDEX('EOD - SEPTEMBER 3, 2026'!$B$2:$B$10010,SMALL(IF('EOD - SEPTEMBER 3, 2026'!$D$2:$D$10010&lt;$B$2,ROW('EOD - SEPTEMBER 3, 2026'!$D$2:$D$10010)-ROW('EOD - SEPTEMBER 3, 2026'!$D$2)+1),14)),"")</f>
        <v>DDN-1590</v>
      </c>
      <c r="B18" s="65">
        <f t="array" ref="B18">IFERROR(INDEX('EOD - SEPTEMBER 3, 2026'!$D$2:$D$10010,SMALL(IF('EOD - SEPTEMBER 3, 2026'!$D$2:$D$10010&lt;$B$2,ROW('EOD - SEPTEMBER 3, 2026'!$D$2:$D$10010)-ROW('EOD - SEPTEMBER 3, 2026'!$D$2)+1),14)),"")</f>
        <v>2865</v>
      </c>
      <c r="C18" s="64" t="str">
        <f t="shared" si="0"/>
        <v>🟡 Low</v>
      </c>
    </row>
    <row r="19" spans="1:3">
      <c r="A19" s="62" t="str">
        <f t="array" ref="A19">IFERROR(INDEX('EOD - SEPTEMBER 3, 2026'!$B$2:$B$10010,SMALL(IF('EOD - SEPTEMBER 3, 2026'!$D$2:$D$10010&lt;$B$2,ROW('EOD - SEPTEMBER 3, 2026'!$D$2:$D$10010)-ROW('EOD - SEPTEMBER 3, 2026'!$D$2)+1),15)),"")</f>
        <v>DDN-1588</v>
      </c>
      <c r="B19" s="63">
        <f t="array" ref="B19">IFERROR(INDEX('EOD - SEPTEMBER 3, 2026'!$D$2:$D$10010,SMALL(IF('EOD - SEPTEMBER 3, 2026'!$D$2:$D$10010&lt;$B$2,ROW('EOD - SEPTEMBER 3, 2026'!$D$2:$D$10010)-ROW('EOD - SEPTEMBER 3, 2026'!$D$2)+1),15)),"")</f>
        <v>2560</v>
      </c>
      <c r="C19" s="62" t="str">
        <f t="shared" si="0"/>
        <v>🟡 Low</v>
      </c>
    </row>
    <row r="20" spans="1:3">
      <c r="A20" s="64" t="str">
        <f t="array" ref="A20">IFERROR(INDEX('EOD - SEPTEMBER 3, 2026'!$B$2:$B$10010,SMALL(IF('EOD - SEPTEMBER 3, 2026'!$D$2:$D$10010&lt;$B$2,ROW('EOD - SEPTEMBER 3, 2026'!$D$2:$D$10010)-ROW('EOD - SEPTEMBER 3, 2026'!$D$2)+1),16)),"")</f>
        <v>DDN-1806</v>
      </c>
      <c r="B20" s="65">
        <f t="array" ref="B20">IFERROR(INDEX('EOD - SEPTEMBER 3, 2026'!$D$2:$D$10010,SMALL(IF('EOD - SEPTEMBER 3, 2026'!$D$2:$D$10010&lt;$B$2,ROW('EOD - SEPTEMBER 3, 2026'!$D$2:$D$10010)-ROW('EOD - SEPTEMBER 3, 2026'!$D$2)+1),16)),"")</f>
        <v>2050</v>
      </c>
      <c r="C20" s="64" t="str">
        <f t="shared" si="0"/>
        <v>🟡 Low</v>
      </c>
    </row>
    <row r="21" spans="1:3">
      <c r="A21" s="62" t="str">
        <f t="array" ref="A21">IFERROR(INDEX('EOD - SEPTEMBER 3, 2026'!$B$2:$B$10010,SMALL(IF('EOD - SEPTEMBER 3, 2026'!$D$2:$D$10010&lt;$B$2,ROW('EOD - SEPTEMBER 3, 2026'!$D$2:$D$10010)-ROW('EOD - SEPTEMBER 3, 2026'!$D$2)+1),17)),"")</f>
        <v>DDN-1715</v>
      </c>
      <c r="B21" s="63">
        <f t="array" ref="B21">IFERROR(INDEX('EOD - SEPTEMBER 3, 2026'!$D$2:$D$10010,SMALL(IF('EOD - SEPTEMBER 3, 2026'!$D$2:$D$10010&lt;$B$2,ROW('EOD - SEPTEMBER 3, 2026'!$D$2:$D$10010)-ROW('EOD - SEPTEMBER 3, 2026'!$D$2)+1),17)),"")</f>
        <v>2646</v>
      </c>
      <c r="C21" s="62" t="str">
        <f t="shared" si="0"/>
        <v>🟡 Low</v>
      </c>
    </row>
    <row r="22" spans="1:3">
      <c r="A22" s="64" t="str">
        <f t="array" ref="A22">IFERROR(INDEX('EOD - SEPTEMBER 3, 2026'!$B$2:$B$10010,SMALL(IF('EOD - SEPTEMBER 3, 2026'!$D$2:$D$10010&lt;$B$2,ROW('EOD - SEPTEMBER 3, 2026'!$D$2:$D$10010)-ROW('EOD - SEPTEMBER 3, 2026'!$D$2)+1),18)),"")</f>
        <v>DDN-1285</v>
      </c>
      <c r="B22" s="65">
        <f t="array" ref="B22">IFERROR(INDEX('EOD - SEPTEMBER 3, 2026'!$D$2:$D$10010,SMALL(IF('EOD - SEPTEMBER 3, 2026'!$D$2:$D$10010&lt;$B$2,ROW('EOD - SEPTEMBER 3, 2026'!$D$2:$D$10010)-ROW('EOD - SEPTEMBER 3, 2026'!$D$2)+1),18)),"")</f>
        <v>1675</v>
      </c>
      <c r="C22" s="64" t="str">
        <f t="shared" si="0"/>
        <v>🟠 Very Low</v>
      </c>
    </row>
    <row r="23" spans="1:3">
      <c r="A23" s="62" t="str">
        <f t="array" ref="A23">IFERROR(INDEX('EOD - SEPTEMBER 3, 2026'!$B$2:$B$10010,SMALL(IF('EOD - SEPTEMBER 3, 2026'!$D$2:$D$10010&lt;$B$2,ROW('EOD - SEPTEMBER 3, 2026'!$D$2:$D$10010)-ROW('EOD - SEPTEMBER 3, 2026'!$D$2)+1),19)),"")</f>
        <v>DDN-1717</v>
      </c>
      <c r="B23" s="63">
        <f t="array" ref="B23">IFERROR(INDEX('EOD - SEPTEMBER 3, 2026'!$D$2:$D$10010,SMALL(IF('EOD - SEPTEMBER 3, 2026'!$D$2:$D$10010&lt;$B$2,ROW('EOD - SEPTEMBER 3, 2026'!$D$2:$D$10010)-ROW('EOD - SEPTEMBER 3, 2026'!$D$2)+1),19)),"")</f>
        <v>1590</v>
      </c>
      <c r="C23" s="62" t="str">
        <f t="shared" si="0"/>
        <v>🟠 Very Low</v>
      </c>
    </row>
    <row r="24" spans="1:3">
      <c r="A24" s="64" t="str">
        <f t="array" ref="A24">IFERROR(INDEX('EOD - SEPTEMBER 3, 2026'!$B$2:$B$10010,SMALL(IF('EOD - SEPTEMBER 3, 2026'!$D$2:$D$10010&lt;$B$2,ROW('EOD - SEPTEMBER 3, 2026'!$D$2:$D$10010)-ROW('EOD - SEPTEMBER 3, 2026'!$D$2)+1),20)),"")</f>
        <v>DDN-762</v>
      </c>
      <c r="B24" s="65">
        <f t="array" ref="B24">IFERROR(INDEX('EOD - SEPTEMBER 3, 2026'!$D$2:$D$10010,SMALL(IF('EOD - SEPTEMBER 3, 2026'!$D$2:$D$10010&lt;$B$2,ROW('EOD - SEPTEMBER 3, 2026'!$D$2:$D$10010)-ROW('EOD - SEPTEMBER 3, 2026'!$D$2)+1),20)),"")</f>
        <v>2530</v>
      </c>
      <c r="C24" s="64" t="str">
        <f t="shared" si="0"/>
        <v>🟡 Low</v>
      </c>
    </row>
    <row r="25" spans="1:3">
      <c r="A25" s="62" t="str">
        <f t="array" ref="A25">IFERROR(INDEX('EOD - SEPTEMBER 3, 2026'!$B$2:$B$10010,SMALL(IF('EOD - SEPTEMBER 3, 2026'!$D$2:$D$10010&lt;$B$2,ROW('EOD - SEPTEMBER 3, 2026'!$D$2:$D$10010)-ROW('EOD - SEPTEMBER 3, 2026'!$D$2)+1),21)),"")</f>
        <v>DDN-1306</v>
      </c>
      <c r="B25" s="63">
        <f t="array" ref="B25">IFERROR(INDEX('EOD - SEPTEMBER 3, 2026'!$D$2:$D$10010,SMALL(IF('EOD - SEPTEMBER 3, 2026'!$D$2:$D$10010&lt;$B$2,ROW('EOD - SEPTEMBER 3, 2026'!$D$2:$D$10010)-ROW('EOD - SEPTEMBER 3, 2026'!$D$2)+1),21)),"")</f>
        <v>2795</v>
      </c>
      <c r="C25" s="62" t="str">
        <f t="shared" si="0"/>
        <v>🟡 Low</v>
      </c>
    </row>
    <row r="26" spans="1:3">
      <c r="A26" s="64" t="str">
        <f t="array" ref="A26">IFERROR(INDEX('EOD - SEPTEMBER 3, 2026'!$B$2:$B$10010,SMALL(IF('EOD - SEPTEMBER 3, 2026'!$D$2:$D$10010&lt;$B$2,ROW('EOD - SEPTEMBER 3, 2026'!$D$2:$D$10010)-ROW('EOD - SEPTEMBER 3, 2026'!$D$2)+1),22)),"")</f>
        <v>DDN-1474</v>
      </c>
      <c r="B26" s="65">
        <f t="array" ref="B26">IFERROR(INDEX('EOD - SEPTEMBER 3, 2026'!$D$2:$D$10010,SMALL(IF('EOD - SEPTEMBER 3, 2026'!$D$2:$D$10010&lt;$B$2,ROW('EOD - SEPTEMBER 3, 2026'!$D$2:$D$10010)-ROW('EOD - SEPTEMBER 3, 2026'!$D$2)+1),22)),"")</f>
        <v>2155</v>
      </c>
      <c r="C26" s="64" t="str">
        <f t="shared" si="0"/>
        <v>🟡 Low</v>
      </c>
    </row>
    <row r="27" spans="1:3">
      <c r="A27" s="62" t="str">
        <f t="array" ref="A27">IFERROR(INDEX('EOD - SEPTEMBER 3, 2026'!$B$2:$B$10010,SMALL(IF('EOD - SEPTEMBER 3, 2026'!$D$2:$D$10010&lt;$B$2,ROW('EOD - SEPTEMBER 3, 2026'!$D$2:$D$10010)-ROW('EOD - SEPTEMBER 3, 2026'!$D$2)+1),23)),"")</f>
        <v>DDN-1742</v>
      </c>
      <c r="B27" s="63">
        <f t="array" ref="B27">IFERROR(INDEX('EOD - SEPTEMBER 3, 2026'!$D$2:$D$10010,SMALL(IF('EOD - SEPTEMBER 3, 2026'!$D$2:$D$10010&lt;$B$2,ROW('EOD - SEPTEMBER 3, 2026'!$D$2:$D$10010)-ROW('EOD - SEPTEMBER 3, 2026'!$D$2)+1),23)),"")</f>
        <v>2551</v>
      </c>
      <c r="C27" s="62" t="str">
        <f t="shared" si="0"/>
        <v>🟡 Low</v>
      </c>
    </row>
    <row r="28" spans="1:3">
      <c r="A28" s="64" t="str">
        <f t="array" ref="A28">IFERROR(INDEX('EOD - SEPTEMBER 3, 2026'!$B$2:$B$10010,SMALL(IF('EOD - SEPTEMBER 3, 2026'!$D$2:$D$10010&lt;$B$2,ROW('EOD - SEPTEMBER 3, 2026'!$D$2:$D$10010)-ROW('EOD - SEPTEMBER 3, 2026'!$D$2)+1),24)),"")</f>
        <v>DDN-1781</v>
      </c>
      <c r="B28" s="65">
        <f t="array" ref="B28">IFERROR(INDEX('EOD - SEPTEMBER 3, 2026'!$D$2:$D$10010,SMALL(IF('EOD - SEPTEMBER 3, 2026'!$D$2:$D$10010&lt;$B$2,ROW('EOD - SEPTEMBER 3, 2026'!$D$2:$D$10010)-ROW('EOD - SEPTEMBER 3, 2026'!$D$2)+1),24)),"")</f>
        <v>1253</v>
      </c>
      <c r="C28" s="64" t="str">
        <f t="shared" si="0"/>
        <v>🟠 Very Low</v>
      </c>
    </row>
    <row r="29" spans="1:3">
      <c r="A29" s="62" t="str">
        <f t="array" ref="A29">IFERROR(INDEX('EOD - SEPTEMBER 3, 2026'!$B$2:$B$10010,SMALL(IF('EOD - SEPTEMBER 3, 2026'!$D$2:$D$10010&lt;$B$2,ROW('EOD - SEPTEMBER 3, 2026'!$D$2:$D$10010)-ROW('EOD - SEPTEMBER 3, 2026'!$D$2)+1),25)),"")</f>
        <v>DDN-1751</v>
      </c>
      <c r="B29" s="63">
        <f t="array" ref="B29">IFERROR(INDEX('EOD - SEPTEMBER 3, 2026'!$D$2:$D$10010,SMALL(IF('EOD - SEPTEMBER 3, 2026'!$D$2:$D$10010&lt;$B$2,ROW('EOD - SEPTEMBER 3, 2026'!$D$2:$D$10010)-ROW('EOD - SEPTEMBER 3, 2026'!$D$2)+1),25)),"")</f>
        <v>2450</v>
      </c>
      <c r="C29" s="62" t="str">
        <f t="shared" si="0"/>
        <v>🟡 Low</v>
      </c>
    </row>
    <row r="30" spans="1:3">
      <c r="A30" s="64" t="str">
        <f t="array" ref="A30">IFERROR(INDEX('EOD - SEPTEMBER 3, 2026'!$B$2:$B$10010,SMALL(IF('EOD - SEPTEMBER 3, 2026'!$D$2:$D$10010&lt;$B$2,ROW('EOD - SEPTEMBER 3, 2026'!$D$2:$D$10010)-ROW('EOD - SEPTEMBER 3, 2026'!$D$2)+1),26)),"")</f>
        <v>DDN-1629</v>
      </c>
      <c r="B30" s="65">
        <f t="array" ref="B30">IFERROR(INDEX('EOD - SEPTEMBER 3, 2026'!$D$2:$D$10010,SMALL(IF('EOD - SEPTEMBER 3, 2026'!$D$2:$D$10010&lt;$B$2,ROW('EOD - SEPTEMBER 3, 2026'!$D$2:$D$10010)-ROW('EOD - SEPTEMBER 3, 2026'!$D$2)+1),26)),"")</f>
        <v>2954</v>
      </c>
      <c r="C30" s="64" t="str">
        <f t="shared" si="0"/>
        <v>🟡 Low</v>
      </c>
    </row>
    <row r="31" spans="1:3">
      <c r="A31" s="62" t="str">
        <f t="array" ref="A31">IFERROR(INDEX('EOD - SEPTEMBER 3, 2026'!$B$2:$B$10010,SMALL(IF('EOD - SEPTEMBER 3, 2026'!$D$2:$D$10010&lt;$B$2,ROW('EOD - SEPTEMBER 3, 2026'!$D$2:$D$10010)-ROW('EOD - SEPTEMBER 3, 2026'!$D$2)+1),27)),"")</f>
        <v>DDN-1824</v>
      </c>
      <c r="B31" s="63">
        <f t="array" ref="B31">IFERROR(INDEX('EOD - SEPTEMBER 3, 2026'!$D$2:$D$10010,SMALL(IF('EOD - SEPTEMBER 3, 2026'!$D$2:$D$10010&lt;$B$2,ROW('EOD - SEPTEMBER 3, 2026'!$D$2:$D$10010)-ROW('EOD - SEPTEMBER 3, 2026'!$D$2)+1),27)),"")</f>
        <v>1955</v>
      </c>
      <c r="C31" s="62" t="str">
        <f t="shared" si="0"/>
        <v>🟠 Very Low</v>
      </c>
    </row>
    <row r="32" spans="1:3">
      <c r="A32" s="64" t="str">
        <f t="array" ref="A32">IFERROR(INDEX('EOD - SEPTEMBER 3, 2026'!$B$2:$B$10010,SMALL(IF('EOD - SEPTEMBER 3, 2026'!$D$2:$D$10010&lt;$B$2,ROW('EOD - SEPTEMBER 3, 2026'!$D$2:$D$10010)-ROW('EOD - SEPTEMBER 3, 2026'!$D$2)+1),28)),"")</f>
        <v>DDN-1740</v>
      </c>
      <c r="B32" s="65">
        <f t="array" ref="B32">IFERROR(INDEX('EOD - SEPTEMBER 3, 2026'!$D$2:$D$10010,SMALL(IF('EOD - SEPTEMBER 3, 2026'!$D$2:$D$10010&lt;$B$2,ROW('EOD - SEPTEMBER 3, 2026'!$D$2:$D$10010)-ROW('EOD - SEPTEMBER 3, 2026'!$D$2)+1),28)),"")</f>
        <v>1166</v>
      </c>
      <c r="C32" s="64" t="str">
        <f t="shared" si="0"/>
        <v>🟠 Very Low</v>
      </c>
    </row>
    <row r="33" spans="1:3">
      <c r="A33" s="62" t="str">
        <f t="array" ref="A33">IFERROR(INDEX('EOD - SEPTEMBER 3, 2026'!$B$2:$B$10010,SMALL(IF('EOD - SEPTEMBER 3, 2026'!$D$2:$D$10010&lt;$B$2,ROW('EOD - SEPTEMBER 3, 2026'!$D$2:$D$10010)-ROW('EOD - SEPTEMBER 3, 2026'!$D$2)+1),29)),"")</f>
        <v>DDN-1823</v>
      </c>
      <c r="B33" s="63">
        <f t="array" ref="B33">IFERROR(INDEX('EOD - SEPTEMBER 3, 2026'!$D$2:$D$10010,SMALL(IF('EOD - SEPTEMBER 3, 2026'!$D$2:$D$10010&lt;$B$2,ROW('EOD - SEPTEMBER 3, 2026'!$D$2:$D$10010)-ROW('EOD - SEPTEMBER 3, 2026'!$D$2)+1),29)),"")</f>
        <v>1674</v>
      </c>
      <c r="C33" s="62" t="str">
        <f t="shared" si="0"/>
        <v>🟠 Very Low</v>
      </c>
    </row>
    <row r="34" spans="1:3">
      <c r="A34" s="64" t="str">
        <f t="array" ref="A34">IFERROR(INDEX('EOD - SEPTEMBER 3, 2026'!$B$2:$B$10010,SMALL(IF('EOD - SEPTEMBER 3, 2026'!$D$2:$D$10010&lt;$B$2,ROW('EOD - SEPTEMBER 3, 2026'!$D$2:$D$10010)-ROW('EOD - SEPTEMBER 3, 2026'!$D$2)+1),30)),"")</f>
        <v>DDN-1631</v>
      </c>
      <c r="B34" s="65">
        <f t="array" ref="B34">IFERROR(INDEX('EOD - SEPTEMBER 3, 2026'!$D$2:$D$10010,SMALL(IF('EOD - SEPTEMBER 3, 2026'!$D$2:$D$10010&lt;$B$2,ROW('EOD - SEPTEMBER 3, 2026'!$D$2:$D$10010)-ROW('EOD - SEPTEMBER 3, 2026'!$D$2)+1),30)),"")</f>
        <v>2640</v>
      </c>
      <c r="C34" s="64" t="str">
        <f t="shared" si="0"/>
        <v>🟡 Low</v>
      </c>
    </row>
    <row r="35" spans="1:3">
      <c r="A35" s="62" t="str">
        <f t="array" ref="A35">IFERROR(INDEX('EOD - SEPTEMBER 3, 2026'!$B$2:$B$10010,SMALL(IF('EOD - SEPTEMBER 3, 2026'!$D$2:$D$10010&lt;$B$2,ROW('EOD - SEPTEMBER 3, 2026'!$D$2:$D$10010)-ROW('EOD - SEPTEMBER 3, 2026'!$D$2)+1),31)),"")</f>
        <v>DDN-1778</v>
      </c>
      <c r="B35" s="63">
        <f t="array" ref="B35">IFERROR(INDEX('EOD - SEPTEMBER 3, 2026'!$D$2:$D$10010,SMALL(IF('EOD - SEPTEMBER 3, 2026'!$D$2:$D$10010&lt;$B$2,ROW('EOD - SEPTEMBER 3, 2026'!$D$2:$D$10010)-ROW('EOD - SEPTEMBER 3, 2026'!$D$2)+1),31)),"")</f>
        <v>1995</v>
      </c>
      <c r="C35" s="62" t="str">
        <f t="shared" si="0"/>
        <v>🟠 Very Low</v>
      </c>
    </row>
    <row r="36" spans="1:3">
      <c r="A36" s="64" t="str">
        <f t="array" ref="A36">IFERROR(INDEX('EOD - SEPTEMBER 3, 2026'!$B$2:$B$10010,SMALL(IF('EOD - SEPTEMBER 3, 2026'!$D$2:$D$10010&lt;$B$2,ROW('EOD - SEPTEMBER 3, 2026'!$D$2:$D$10010)-ROW('EOD - SEPTEMBER 3, 2026'!$D$2)+1),32)),"")</f>
        <v>DDN-1782</v>
      </c>
      <c r="B36" s="65">
        <f t="array" ref="B36">IFERROR(INDEX('EOD - SEPTEMBER 3, 2026'!$D$2:$D$10010,SMALL(IF('EOD - SEPTEMBER 3, 2026'!$D$2:$D$10010&lt;$B$2,ROW('EOD - SEPTEMBER 3, 2026'!$D$2:$D$10010)-ROW('EOD - SEPTEMBER 3, 2026'!$D$2)+1),32)),"")</f>
        <v>1400</v>
      </c>
      <c r="C36" s="64" t="str">
        <f t="shared" si="0"/>
        <v>🟠 Very Low</v>
      </c>
    </row>
    <row r="37" spans="1:3">
      <c r="A37" s="62" t="str">
        <f t="array" ref="A37">IFERROR(INDEX('EOD - SEPTEMBER 3, 2026'!$B$2:$B$10010,SMALL(IF('EOD - SEPTEMBER 3, 2026'!$D$2:$D$10010&lt;$B$2,ROW('EOD - SEPTEMBER 3, 2026'!$D$2:$D$10010)-ROW('EOD - SEPTEMBER 3, 2026'!$D$2)+1),33)),"")</f>
        <v>DDN-1758</v>
      </c>
      <c r="B37" s="63">
        <f t="array" ref="B37">IFERROR(INDEX('EOD - SEPTEMBER 3, 2026'!$D$2:$D$10010,SMALL(IF('EOD - SEPTEMBER 3, 2026'!$D$2:$D$10010&lt;$B$2,ROW('EOD - SEPTEMBER 3, 2026'!$D$2:$D$10010)-ROW('EOD - SEPTEMBER 3, 2026'!$D$2)+1),33)),"")</f>
        <v>1640</v>
      </c>
      <c r="C37" s="62" t="str">
        <f t="shared" ref="C37:C46" si="1">IF(B37="","",IF(B37&lt;1000,"🔴 Critical",IF(B37&lt;2000,"🟠 Very Low","🟡 Low")))</f>
        <v>🟠 Very Low</v>
      </c>
    </row>
    <row r="38" spans="1:3">
      <c r="A38" s="64" t="str">
        <f t="array" ref="A38">IFERROR(INDEX('EOD - SEPTEMBER 3, 2026'!$B$2:$B$10010,SMALL(IF('EOD - SEPTEMBER 3, 2026'!$D$2:$D$10010&lt;$B$2,ROW('EOD - SEPTEMBER 3, 2026'!$D$2:$D$10010)-ROW('EOD - SEPTEMBER 3, 2026'!$D$2)+1),34)),"")</f>
        <v>DDN-1780</v>
      </c>
      <c r="B38" s="65">
        <f t="array" ref="B38">IFERROR(INDEX('EOD - SEPTEMBER 3, 2026'!$D$2:$D$10010,SMALL(IF('EOD - SEPTEMBER 3, 2026'!$D$2:$D$10010&lt;$B$2,ROW('EOD - SEPTEMBER 3, 2026'!$D$2:$D$10010)-ROW('EOD - SEPTEMBER 3, 2026'!$D$2)+1),34)),"")</f>
        <v>2860</v>
      </c>
      <c r="C38" s="64" t="str">
        <f t="shared" si="1"/>
        <v>🟡 Low</v>
      </c>
    </row>
    <row r="39" spans="1:3">
      <c r="A39" s="62" t="str">
        <f t="array" ref="A39">IFERROR(INDEX('EOD - SEPTEMBER 3, 2026'!$B$2:$B$10010,SMALL(IF('EOD - SEPTEMBER 3, 2026'!$D$2:$D$10010&lt;$B$2,ROW('EOD - SEPTEMBER 3, 2026'!$D$2:$D$10010)-ROW('EOD - SEPTEMBER 3, 2026'!$D$2)+1),35)),"")</f>
        <v>DDN-1300</v>
      </c>
      <c r="B39" s="63">
        <f t="array" ref="B39">IFERROR(INDEX('EOD - SEPTEMBER 3, 2026'!$D$2:$D$10010,SMALL(IF('EOD - SEPTEMBER 3, 2026'!$D$2:$D$10010&lt;$B$2,ROW('EOD - SEPTEMBER 3, 2026'!$D$2:$D$10010)-ROW('EOD - SEPTEMBER 3, 2026'!$D$2)+1),35)),"")</f>
        <v>2462</v>
      </c>
      <c r="C39" s="62" t="str">
        <f t="shared" si="1"/>
        <v>🟡 Low</v>
      </c>
    </row>
    <row r="40" spans="1:3">
      <c r="A40" s="64" t="str">
        <f t="array" ref="A40">IFERROR(INDEX('EOD - SEPTEMBER 3, 2026'!$B$2:$B$10010,SMALL(IF('EOD - SEPTEMBER 3, 2026'!$D$2:$D$10010&lt;$B$2,ROW('EOD - SEPTEMBER 3, 2026'!$D$2:$D$10010)-ROW('EOD - SEPTEMBER 3, 2026'!$D$2)+1),36)),"")</f>
        <v>DDN-1752</v>
      </c>
      <c r="B40" s="65">
        <f t="array" ref="B40">IFERROR(INDEX('EOD - SEPTEMBER 3, 2026'!$D$2:$D$10010,SMALL(IF('EOD - SEPTEMBER 3, 2026'!$D$2:$D$10010&lt;$B$2,ROW('EOD - SEPTEMBER 3, 2026'!$D$2:$D$10010)-ROW('EOD - SEPTEMBER 3, 2026'!$D$2)+1),36)),"")</f>
        <v>2460</v>
      </c>
      <c r="C40" s="64" t="str">
        <f t="shared" si="1"/>
        <v>🟡 Low</v>
      </c>
    </row>
    <row r="41" spans="1:3">
      <c r="A41" s="62" t="str">
        <f>IFERROR(INDEX('EOD - SEPTEMBER 3, 2026'!$B$2:$B$10010,SMALL(IF('EOD - SEPTEMBER 3, 2026'!$D$2:$D$10010&lt;$B$2,ROW('EOD - SEPTEMBER 3, 2026'!$D$2:$D$10010)-ROW('EOD - SEPTEMBER 3, 2026'!$D$2)+1),37)),"")</f>
        <v/>
      </c>
      <c r="B41" s="63" t="str">
        <f>IFERROR(INDEX('EOD - SEPTEMBER 3, 2026'!$D$2:$D$10010,SMALL(IF('EOD - SEPTEMBER 3, 2026'!$D$2:$D$10010&lt;$B$2,ROW('EOD - SEPTEMBER 3, 2026'!$D$2:$D$10010)-ROW('EOD - SEPTEMBER 3, 2026'!$D$2)+1),37)),"")</f>
        <v/>
      </c>
      <c r="C41" s="62" t="str">
        <f t="shared" si="1"/>
        <v/>
      </c>
    </row>
    <row r="42" spans="1:3">
      <c r="A42" s="64" t="str">
        <f>IFERROR(INDEX('EOD - SEPTEMBER 3, 2026'!$B$2:$B$10010,SMALL(IF('EOD - SEPTEMBER 3, 2026'!$D$2:$D$10010&lt;$B$2,ROW('EOD - SEPTEMBER 3, 2026'!$D$2:$D$10010)-ROW('EOD - SEPTEMBER 3, 2026'!$D$2)+1),38)),"")</f>
        <v/>
      </c>
      <c r="B42" s="65" t="str">
        <f>IFERROR(INDEX('EOD - SEPTEMBER 3, 2026'!$D$2:$D$10010,SMALL(IF('EOD - SEPTEMBER 3, 2026'!$D$2:$D$10010&lt;$B$2,ROW('EOD - SEPTEMBER 3, 2026'!$D$2:$D$10010)-ROW('EOD - SEPTEMBER 3, 2026'!$D$2)+1),38)),"")</f>
        <v/>
      </c>
      <c r="C42" s="64" t="str">
        <f t="shared" si="1"/>
        <v/>
      </c>
    </row>
    <row r="43" spans="1:3">
      <c r="A43" s="62" t="str">
        <f>IFERROR(INDEX('EOD - SEPTEMBER 3, 2026'!$B$2:$B$10010,SMALL(IF('EOD - SEPTEMBER 3, 2026'!$D$2:$D$10010&lt;$B$2,ROW('EOD - SEPTEMBER 3, 2026'!$D$2:$D$10010)-ROW('EOD - SEPTEMBER 3, 2026'!$D$2)+1),39)),"")</f>
        <v/>
      </c>
      <c r="B43" s="63" t="str">
        <f>IFERROR(INDEX('EOD - SEPTEMBER 3, 2026'!$D$2:$D$10010,SMALL(IF('EOD - SEPTEMBER 3, 2026'!$D$2:$D$10010&lt;$B$2,ROW('EOD - SEPTEMBER 3, 2026'!$D$2:$D$10010)-ROW('EOD - SEPTEMBER 3, 2026'!$D$2)+1),39)),"")</f>
        <v/>
      </c>
      <c r="C43" s="62" t="str">
        <f t="shared" si="1"/>
        <v/>
      </c>
    </row>
    <row r="44" spans="1:3">
      <c r="A44" s="64" t="str">
        <f>IFERROR(INDEX('EOD - SEPTEMBER 3, 2026'!$B$2:$B$10010,SMALL(IF('EOD - SEPTEMBER 3, 2026'!$D$2:$D$10010&lt;$B$2,ROW('EOD - SEPTEMBER 3, 2026'!$D$2:$D$10010)-ROW('EOD - SEPTEMBER 3, 2026'!$D$2)+1),40)),"")</f>
        <v/>
      </c>
      <c r="B44" s="65" t="str">
        <f>IFERROR(INDEX('EOD - SEPTEMBER 3, 2026'!$D$2:$D$10010,SMALL(IF('EOD - SEPTEMBER 3, 2026'!$D$2:$D$10010&lt;$B$2,ROW('EOD - SEPTEMBER 3, 2026'!$D$2:$D$10010)-ROW('EOD - SEPTEMBER 3, 2026'!$D$2)+1),40)),"")</f>
        <v/>
      </c>
      <c r="C44" s="64" t="str">
        <f t="shared" si="1"/>
        <v/>
      </c>
    </row>
    <row r="45" spans="1:3">
      <c r="A45" s="62" t="str">
        <f>IFERROR(INDEX('EOD - SEPTEMBER 3, 2026'!$B$2:$B$10010,SMALL(IF('EOD - SEPTEMBER 3, 2026'!$D$2:$D$10010&lt;$B$2,ROW('EOD - SEPTEMBER 3, 2026'!$D$2:$D$10010)-ROW('EOD - SEPTEMBER 3, 2026'!$D$2)+1),41)),"")</f>
        <v/>
      </c>
      <c r="B45" s="63" t="str">
        <f>IFERROR(INDEX('EOD - SEPTEMBER 3, 2026'!$D$2:$D$10010,SMALL(IF('EOD - SEPTEMBER 3, 2026'!$D$2:$D$10010&lt;$B$2,ROW('EOD - SEPTEMBER 3, 2026'!$D$2:$D$10010)-ROW('EOD - SEPTEMBER 3, 2026'!$D$2)+1),41)),"")</f>
        <v/>
      </c>
      <c r="C45" s="62" t="str">
        <f t="shared" si="1"/>
        <v/>
      </c>
    </row>
    <row r="46" spans="1:3">
      <c r="A46" s="64" t="str">
        <f>IFERROR(INDEX('EOD - SEPTEMBER 3, 2026'!$B$2:$B$10010,SMALL(IF('EOD - SEPTEMBER 3, 2026'!$D$2:$D$10010&lt;$B$2,ROW('EOD - SEPTEMBER 3, 2026'!$D$2:$D$10010)-ROW('EOD - SEPTEMBER 3, 2026'!$D$2)+1),42)),"")</f>
        <v/>
      </c>
      <c r="B46" s="65" t="str">
        <f>IFERROR(INDEX('EOD - SEPTEMBER 3, 2026'!$D$2:$D$10010,SMALL(IF('EOD - SEPTEMBER 3, 2026'!$D$2:$D$10010&lt;$B$2,ROW('EOD - SEPTEMBER 3, 2026'!$D$2:$D$10010)-ROW('EOD - SEPTEMBER 3, 2026'!$D$2)+1),42)),"")</f>
        <v/>
      </c>
      <c r="C46" s="64" t="str">
        <f t="shared" si="1"/>
        <v/>
      </c>
    </row>
    <row r="47" spans="1:3">
      <c r="A47" s="66" t="s">
        <v>150</v>
      </c>
      <c r="B47" s="66">
        <f>COUNTIF('EOD - SEPTEMBER 3, 2026'!$D$2:$D$10010,"&lt;"&amp;$B$2)</f>
        <v>36</v>
      </c>
      <c r="C47" s="66"/>
    </row>
    <row r="48" spans="1:3">
      <c r="A48" s="66" t="s">
        <v>151</v>
      </c>
      <c r="B48" s="67">
        <f>SUMIF('EOD - SEPTEMBER 3, 2026'!$D$2:$D$10010,"&lt;"&amp;$B$2,'EOD - SEPTEMBER 3, 2026'!$D$2:$D$10010)</f>
        <v>76203</v>
      </c>
      <c r="C48" s="79"/>
    </row>
    <row r="49" spans="2:2">
      <c r="B49" s="78"/>
    </row>
  </sheetData>
  <mergeCells count="2">
    <mergeCell ref="A3:C3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NELSON AREA</vt:lpstr>
      <vt:lpstr>CHARLIE AREA</vt:lpstr>
      <vt:lpstr>EOD - SEPTEMBER 3, 2026</vt:lpstr>
      <vt:lpstr>Low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Q2680</dc:creator>
  <dc:description/>
  <cp:lastModifiedBy>Peter John Carrillo</cp:lastModifiedBy>
  <cp:revision>0</cp:revision>
  <dcterms:created xsi:type="dcterms:W3CDTF">2024-07-21T00:25:00Z</dcterms:created>
  <dcterms:modified xsi:type="dcterms:W3CDTF">2026-09-03T17:14:46Z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a4191e5dfadf4c63ba00a61cfdec9bb5</vt:lpwstr>
  </property>
  <property fmtid="{D5CDD505-2E9C-101B-9397-08002B2CF9AE}" pid="3" name="KSOProductBuildVer">
    <vt:lpwstr>1033-12.2.0.23196</vt:lpwstr>
  </property>
</Properties>
</file>